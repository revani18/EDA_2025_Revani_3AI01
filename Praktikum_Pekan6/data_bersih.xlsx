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ekan6" sheetId="2" r:id="rId5"/>
  </sheets>
  <definedNames/>
  <calcPr/>
  <extLst>
    <ext uri="GoogleSheetsCustomDataVersion2">
      <go:sheetsCustomData xmlns:go="http://customooxmlschemas.google.com/" r:id="rId6" roundtripDataChecksum="th4NSkV0F+CWleZcyT2wur8BIP5QuMAW8Bn9avg3SPU="/>
    </ext>
  </extLst>
</workbook>
</file>

<file path=xl/sharedStrings.xml><?xml version="1.0" encoding="utf-8"?>
<sst xmlns="http://schemas.openxmlformats.org/spreadsheetml/2006/main" count="665" uniqueCount="265">
  <si>
    <t>ID</t>
  </si>
  <si>
    <t>Nama</t>
  </si>
  <si>
    <t>Usia</t>
  </si>
  <si>
    <t>Kota</t>
  </si>
  <si>
    <t>Pendapatan</t>
  </si>
  <si>
    <t>Status</t>
  </si>
  <si>
    <t>Tanggal Daftar</t>
  </si>
  <si>
    <t>Tahun_Daftar</t>
  </si>
  <si>
    <t>Bulan_Daftar</t>
  </si>
  <si>
    <t>Hari_Daftar</t>
  </si>
  <si>
    <t>Pengguna_118</t>
  </si>
  <si>
    <t>yogyakarta</t>
  </si>
  <si>
    <t>Aktif</t>
  </si>
  <si>
    <t>Pengguna_29</t>
  </si>
  <si>
    <t>jakarta</t>
  </si>
  <si>
    <t>Pengguna_119</t>
  </si>
  <si>
    <t>medan</t>
  </si>
  <si>
    <t>Pengguna_44</t>
  </si>
  <si>
    <t>makassar</t>
  </si>
  <si>
    <t>Tidak Aktif</t>
  </si>
  <si>
    <t>Pengguna_124</t>
  </si>
  <si>
    <t>bandung</t>
  </si>
  <si>
    <t>Pending</t>
  </si>
  <si>
    <t>Pengguna_110</t>
  </si>
  <si>
    <t>surabaya</t>
  </si>
  <si>
    <t>Pengguna_99</t>
  </si>
  <si>
    <t>semarang</t>
  </si>
  <si>
    <t>Pengguna_62</t>
  </si>
  <si>
    <t>Pengguna_49</t>
  </si>
  <si>
    <t>Pengguna_22</t>
  </si>
  <si>
    <t>Pengguna_70</t>
  </si>
  <si>
    <t>Pengguna_42</t>
  </si>
  <si>
    <t>palembang</t>
  </si>
  <si>
    <t>Pengguna_57</t>
  </si>
  <si>
    <t>Pengguna_148</t>
  </si>
  <si>
    <t>Pengguna_143</t>
  </si>
  <si>
    <t>Pengguna_134</t>
  </si>
  <si>
    <t>Pengguna_139</t>
  </si>
  <si>
    <t>Pengguna_60</t>
  </si>
  <si>
    <t>Pengguna_20</t>
  </si>
  <si>
    <t>Pengguna_92</t>
  </si>
  <si>
    <t>Pengguna_51</t>
  </si>
  <si>
    <t>Pengguna_127</t>
  </si>
  <si>
    <t>Pengguna_135</t>
  </si>
  <si>
    <t>Pengguna_98</t>
  </si>
  <si>
    <t>Pengguna_87</t>
  </si>
  <si>
    <t>Pengguna_136</t>
  </si>
  <si>
    <t>Pengguna_3</t>
  </si>
  <si>
    <t>Pengguna_131</t>
  </si>
  <si>
    <t>Pengguna_108</t>
  </si>
  <si>
    <t>Pengguna_53</t>
  </si>
  <si>
    <t>Pengguna_61</t>
  </si>
  <si>
    <t>Pengguna_67</t>
  </si>
  <si>
    <t>Pengguna_91</t>
  </si>
  <si>
    <t>Pengguna_63</t>
  </si>
  <si>
    <t>Pengguna_72</t>
  </si>
  <si>
    <t>Pengguna_129</t>
  </si>
  <si>
    <t>Pengguna_38</t>
  </si>
  <si>
    <t>Pengguna_138</t>
  </si>
  <si>
    <t>Pengguna_12</t>
  </si>
  <si>
    <t>Pengguna_104</t>
  </si>
  <si>
    <t>Pengguna_146</t>
  </si>
  <si>
    <t>Pengguna_2</t>
  </si>
  <si>
    <t>Pengguna_64</t>
  </si>
  <si>
    <t>Pengguna_25</t>
  </si>
  <si>
    <t>Pengguna_10</t>
  </si>
  <si>
    <t>Pengguna_66</t>
  </si>
  <si>
    <t>Pengguna_133</t>
  </si>
  <si>
    <t>Pengguna_97</t>
  </si>
  <si>
    <t>Pengguna_74</t>
  </si>
  <si>
    <t>Pengguna_84</t>
  </si>
  <si>
    <t>Pengguna_54</t>
  </si>
  <si>
    <t>Pengguna_18</t>
  </si>
  <si>
    <t>Pengguna_103</t>
  </si>
  <si>
    <t>Pengguna_89</t>
  </si>
  <si>
    <t>Pengguna_19</t>
  </si>
  <si>
    <t>Pengguna_95</t>
  </si>
  <si>
    <t>Pengguna_24</t>
  </si>
  <si>
    <t>Pengguna_52</t>
  </si>
  <si>
    <t>Pengguna_123</t>
  </si>
  <si>
    <t>Pengguna_100</t>
  </si>
  <si>
    <t>Pengguna_77</t>
  </si>
  <si>
    <t>Pengguna_68</t>
  </si>
  <si>
    <t>Pengguna_150</t>
  </si>
  <si>
    <t>Pengguna_81</t>
  </si>
  <si>
    <t>Pengguna_17</t>
  </si>
  <si>
    <t>Pengguna_73</t>
  </si>
  <si>
    <t>Pengguna_28</t>
  </si>
  <si>
    <t>Pengguna_86</t>
  </si>
  <si>
    <t>Pengguna_30</t>
  </si>
  <si>
    <t>Pengguna_83</t>
  </si>
  <si>
    <t>Pengguna_55</t>
  </si>
  <si>
    <t>Pengguna_114</t>
  </si>
  <si>
    <t>Pengguna_45</t>
  </si>
  <si>
    <t>Pengguna_33</t>
  </si>
  <si>
    <t>Pengguna_149</t>
  </si>
  <si>
    <t>Pengguna_78</t>
  </si>
  <si>
    <t>Pengguna_16</t>
  </si>
  <si>
    <t>Pengguna_113</t>
  </si>
  <si>
    <t>Pengguna_31</t>
  </si>
  <si>
    <t>Pengguna_6</t>
  </si>
  <si>
    <t>Pengguna_59</t>
  </si>
  <si>
    <t>Pengguna_88</t>
  </si>
  <si>
    <t>Pengguna_96</t>
  </si>
  <si>
    <t>Pengguna_116</t>
  </si>
  <si>
    <t>Pengguna_11</t>
  </si>
  <si>
    <t>Pengguna_132</t>
  </si>
  <si>
    <t>Pengguna_80</t>
  </si>
  <si>
    <t>Pengguna_65</t>
  </si>
  <si>
    <t>Pengguna_26</t>
  </si>
  <si>
    <t>Pengguna_140</t>
  </si>
  <si>
    <t>Pengguna_130</t>
  </si>
  <si>
    <t>Pengguna_142</t>
  </si>
  <si>
    <t>Pengguna_27</t>
  </si>
  <si>
    <t>Pengguna_15</t>
  </si>
  <si>
    <t>Pengguna_90</t>
  </si>
  <si>
    <t>Pengguna_137</t>
  </si>
  <si>
    <t>Pengguna_111</t>
  </si>
  <si>
    <t>Pengguna_23</t>
  </si>
  <si>
    <t>Pengguna_4</t>
  </si>
  <si>
    <t>Pengguna_121</t>
  </si>
  <si>
    <t>Pengguna_94</t>
  </si>
  <si>
    <t>Pengguna_107</t>
  </si>
  <si>
    <t>Pengguna_144</t>
  </si>
  <si>
    <t>Pengguna_34</t>
  </si>
  <si>
    <t>Pengguna_93</t>
  </si>
  <si>
    <t>Pengguna_43</t>
  </si>
  <si>
    <t>Pengguna_50</t>
  </si>
  <si>
    <t>Pengguna_21</t>
  </si>
  <si>
    <t>Pengguna_46</t>
  </si>
  <si>
    <t>Pengguna_120</t>
  </si>
  <si>
    <t>Pengguna_5</t>
  </si>
  <si>
    <t>Pengguna_105</t>
  </si>
  <si>
    <t>Pengguna_106</t>
  </si>
  <si>
    <t>Pengguna_145</t>
  </si>
  <si>
    <t>Pengguna_32</t>
  </si>
  <si>
    <t>Pengguna_126</t>
  </si>
  <si>
    <t>Pengguna_102</t>
  </si>
  <si>
    <t>Pengguna_14</t>
  </si>
  <si>
    <t>Pengguna_7</t>
  </si>
  <si>
    <t>Pengguna_125</t>
  </si>
  <si>
    <t>Pengguna_147</t>
  </si>
  <si>
    <t>Pengguna_75</t>
  </si>
  <si>
    <t>Pengguna_9</t>
  </si>
  <si>
    <t>Pengguna_128</t>
  </si>
  <si>
    <t>Pengguna_37</t>
  </si>
  <si>
    <t>Pengguna_117</t>
  </si>
  <si>
    <t>Pengguna_36</t>
  </si>
  <si>
    <t>Pengguna_56</t>
  </si>
  <si>
    <t>Pengguna_58</t>
  </si>
  <si>
    <t>Pengguna_115</t>
  </si>
  <si>
    <t>Pengguna_79</t>
  </si>
  <si>
    <t>Pengguna_82</t>
  </si>
  <si>
    <t>Pengguna_101</t>
  </si>
  <si>
    <t>Pengguna_48</t>
  </si>
  <si>
    <t>Pengguna_47</t>
  </si>
  <si>
    <t>Pengguna_141</t>
  </si>
  <si>
    <t>Pengguna_39</t>
  </si>
  <si>
    <t>Pengguna_112</t>
  </si>
  <si>
    <t>Pengguna_76</t>
  </si>
  <si>
    <t>Pengguna_122</t>
  </si>
  <si>
    <t>Pengguna_85</t>
  </si>
  <si>
    <t>Pengguna_109</t>
  </si>
  <si>
    <t>Pengguna_71</t>
  </si>
  <si>
    <t>Pengguna_40</t>
  </si>
  <si>
    <t>Pengguna_41</t>
  </si>
  <si>
    <t>Pengguna_8</t>
  </si>
  <si>
    <t>Pengguna_35</t>
  </si>
  <si>
    <t>Pengguna_13</t>
  </si>
  <si>
    <t>Pengguna_1</t>
  </si>
  <si>
    <t>Pengguna_69</t>
  </si>
  <si>
    <t>Usia X Pendapatan</t>
  </si>
  <si>
    <t>Usia^2</t>
  </si>
  <si>
    <t>Pendapatan^2</t>
  </si>
  <si>
    <t>y regresi</t>
  </si>
  <si>
    <t>residu</t>
  </si>
  <si>
    <t>residu2</t>
  </si>
  <si>
    <t>Jumlah Kuadrat Residu</t>
  </si>
  <si>
    <t>12048531,63</t>
  </si>
  <si>
    <t>Total xy</t>
  </si>
  <si>
    <t>rata2 x</t>
  </si>
  <si>
    <t>11911547,79</t>
  </si>
  <si>
    <t>-6919661,79</t>
  </si>
  <si>
    <t>Total x</t>
  </si>
  <si>
    <t>rata2 y</t>
  </si>
  <si>
    <t>11852840,43</t>
  </si>
  <si>
    <t>Total y</t>
  </si>
  <si>
    <t>12077885,31</t>
  </si>
  <si>
    <t>Total x^2</t>
  </si>
  <si>
    <t>11803917,63</t>
  </si>
  <si>
    <t>Totaal y^2</t>
  </si>
  <si>
    <t>11774563,95</t>
  </si>
  <si>
    <t>Banyak Data</t>
  </si>
  <si>
    <t>y=a+bx</t>
  </si>
  <si>
    <t>SSxy</t>
  </si>
  <si>
    <t>b</t>
  </si>
  <si>
    <t>SSXX</t>
  </si>
  <si>
    <t>a</t>
  </si>
  <si>
    <t>11891978,67</t>
  </si>
  <si>
    <t>2108260,33</t>
  </si>
  <si>
    <t>SSyy</t>
  </si>
  <si>
    <t>11784348,51</t>
  </si>
  <si>
    <t>r</t>
  </si>
  <si>
    <t>y=11549519.07+9784.55988</t>
  </si>
  <si>
    <t>11754994,83</t>
  </si>
  <si>
    <t>R^2</t>
  </si>
  <si>
    <t>11833271,31</t>
  </si>
  <si>
    <t>Median Usia</t>
  </si>
  <si>
    <t>12019177,95</t>
  </si>
  <si>
    <t>Median Pendapatan</t>
  </si>
  <si>
    <t>11921332,35</t>
  </si>
  <si>
    <t>3534748,65</t>
  </si>
  <si>
    <t>Simpangan Baku Usia</t>
  </si>
  <si>
    <t>11725641,15</t>
  </si>
  <si>
    <t>Simpangan Baku Pendapatan</t>
  </si>
  <si>
    <t>11735425,71</t>
  </si>
  <si>
    <t>Skewness Usia</t>
  </si>
  <si>
    <t>Skewness Pendapatan</t>
  </si>
  <si>
    <t>12097454,43</t>
  </si>
  <si>
    <t>11745210,27</t>
  </si>
  <si>
    <t>12126808,11</t>
  </si>
  <si>
    <t>11794133,07</t>
  </si>
  <si>
    <t>12117023,55</t>
  </si>
  <si>
    <t>12038747,07</t>
  </si>
  <si>
    <t>11901763,23</t>
  </si>
  <si>
    <t>3574824,77</t>
  </si>
  <si>
    <t>12028962,51</t>
  </si>
  <si>
    <t>11813702,19</t>
  </si>
  <si>
    <t>11882194,11</t>
  </si>
  <si>
    <t>12009393,39</t>
  </si>
  <si>
    <t>12058316,19</t>
  </si>
  <si>
    <t>1310211,89</t>
  </si>
  <si>
    <t>12087669,87</t>
  </si>
  <si>
    <t>11989824,27</t>
  </si>
  <si>
    <t>11999608,83</t>
  </si>
  <si>
    <t>4010980,89</t>
  </si>
  <si>
    <t>-6209765,23</t>
  </si>
  <si>
    <t>12068100,75</t>
  </si>
  <si>
    <t>11764779,39</t>
  </si>
  <si>
    <t>-4590339,67</t>
  </si>
  <si>
    <t>-6047743,35</t>
  </si>
  <si>
    <t>1636176,77</t>
  </si>
  <si>
    <t>11862624,99</t>
  </si>
  <si>
    <t>11872409,55</t>
  </si>
  <si>
    <t>11843055,87</t>
  </si>
  <si>
    <t>-4148009,11</t>
  </si>
  <si>
    <t>-5943462,79</t>
  </si>
  <si>
    <t>11970255,15</t>
  </si>
  <si>
    <t>11823486,75</t>
  </si>
  <si>
    <t>11950686,03</t>
  </si>
  <si>
    <t>-6606284,03</t>
  </si>
  <si>
    <t>12107238,99</t>
  </si>
  <si>
    <t>-6463801,23</t>
  </si>
  <si>
    <t>11940901,47</t>
  </si>
  <si>
    <t>5651266,53</t>
  </si>
  <si>
    <t>-3618610,79</t>
  </si>
  <si>
    <t>1717375,33</t>
  </si>
  <si>
    <t>11931116,91</t>
  </si>
  <si>
    <t>2393184,09</t>
  </si>
  <si>
    <t>-8272938,79</t>
  </si>
  <si>
    <t>-5284547,47</t>
  </si>
  <si>
    <t>1624307,33</t>
  </si>
  <si>
    <t>-3151973,79</t>
  </si>
  <si>
    <t>11980039,71</t>
  </si>
  <si>
    <t>7121732,21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</si>
</sst>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0.00000E+00"/>
  </numFmts>
  <fonts count="7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1" fillId="2" fontId="4" numFmtId="0" xfId="0" applyAlignment="1" applyBorder="1" applyFill="1" applyFont="1">
      <alignment horizontal="center" readingOrder="0" shrinkToFit="0" vertical="top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4" numFmtId="165" xfId="0" applyAlignment="1" applyBorder="1" applyFont="1" applyNumberFormat="1">
      <alignment horizontal="center" readingOrder="0" shrinkToFit="0" vertical="bottom" wrapText="0"/>
    </xf>
    <xf borderId="1" fillId="3" fontId="4" numFmtId="0" xfId="0" applyAlignment="1" applyBorder="1" applyFill="1" applyFont="1">
      <alignment horizontal="center" readingOrder="0"/>
    </xf>
    <xf borderId="1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165" xfId="0" applyAlignment="1" applyBorder="1" applyFont="1" applyNumberFormat="1">
      <alignment horizontal="right" readingOrder="0" shrinkToFit="0" vertical="bottom" wrapText="0"/>
    </xf>
    <xf borderId="1" fillId="0" fontId="5" numFmtId="3" xfId="0" applyAlignment="1" applyBorder="1" applyFont="1" applyNumberFormat="1">
      <alignment horizontal="right" readingOrder="0" shrinkToFit="0" vertical="bottom" wrapText="0"/>
    </xf>
    <xf borderId="1" fillId="0" fontId="5" numFmtId="11" xfId="0" applyAlignment="1" applyBorder="1" applyFont="1" applyNumberFormat="1">
      <alignment horizontal="right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6" numFmtId="0" xfId="0" applyAlignment="1" applyFont="1">
      <alignment readingOrder="0"/>
    </xf>
    <xf borderId="0" fillId="0" fontId="6" numFmtId="0" xfId="0" applyFont="1"/>
    <xf borderId="4" fillId="0" fontId="2" numFmtId="0" xfId="0" applyBorder="1" applyFont="1"/>
    <xf borderId="5" fillId="0" fontId="2" numFmtId="0" xfId="0" applyBorder="1" applyFont="1"/>
    <xf borderId="5" fillId="0" fontId="2" numFmtId="165" xfId="0" applyBorder="1" applyFont="1" applyNumberFormat="1"/>
    <xf borderId="4" fillId="0" fontId="6" numFmtId="0" xfId="0" applyBorder="1" applyFont="1"/>
    <xf borderId="5" fillId="0" fontId="6" numFmtId="0" xfId="0" applyBorder="1" applyFont="1"/>
    <xf borderId="6" fillId="0" fontId="6" numFmtId="0" xfId="0" applyAlignment="1" applyBorder="1" applyFont="1">
      <alignment readingOrder="0"/>
    </xf>
    <xf borderId="7" fillId="0" fontId="6" numFmtId="0" xfId="0" applyBorder="1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118.0</v>
      </c>
      <c r="B2" s="2" t="s">
        <v>10</v>
      </c>
      <c r="C2" s="2">
        <v>51.0</v>
      </c>
      <c r="D2" s="2" t="s">
        <v>11</v>
      </c>
      <c r="E2" s="2">
        <v>9819256.0</v>
      </c>
      <c r="F2" s="2" t="s">
        <v>12</v>
      </c>
      <c r="G2" s="3">
        <v>45103.0</v>
      </c>
      <c r="H2" s="2">
        <v>2023.0</v>
      </c>
      <c r="I2" s="2">
        <v>6.0</v>
      </c>
      <c r="J2" s="2">
        <v>26.0</v>
      </c>
    </row>
    <row r="3">
      <c r="A3" s="2">
        <v>29.0</v>
      </c>
      <c r="B3" s="2" t="s">
        <v>13</v>
      </c>
      <c r="C3" s="2">
        <v>37.0</v>
      </c>
      <c r="D3" s="2" t="s">
        <v>14</v>
      </c>
      <c r="E3" s="2">
        <v>4991886.0</v>
      </c>
      <c r="F3" s="2" t="s">
        <v>12</v>
      </c>
      <c r="G3" s="3">
        <v>45127.0</v>
      </c>
      <c r="H3" s="2">
        <v>2023.0</v>
      </c>
      <c r="I3" s="2">
        <v>7.0</v>
      </c>
      <c r="J3" s="2">
        <v>20.0</v>
      </c>
    </row>
    <row r="4">
      <c r="A4" s="2">
        <v>119.0</v>
      </c>
      <c r="B4" s="2" t="s">
        <v>15</v>
      </c>
      <c r="C4" s="2">
        <v>31.0</v>
      </c>
      <c r="D4" s="2" t="s">
        <v>16</v>
      </c>
      <c r="E4" s="2">
        <v>1.9094979E7</v>
      </c>
      <c r="F4" s="2" t="s">
        <v>12</v>
      </c>
      <c r="G4" s="3">
        <v>45063.0</v>
      </c>
      <c r="H4" s="2">
        <v>2023.0</v>
      </c>
      <c r="I4" s="2">
        <v>5.0</v>
      </c>
      <c r="J4" s="2">
        <v>17.0</v>
      </c>
    </row>
    <row r="5">
      <c r="A5" s="2">
        <v>44.0</v>
      </c>
      <c r="B5" s="2" t="s">
        <v>17</v>
      </c>
      <c r="C5" s="2">
        <v>54.0</v>
      </c>
      <c r="D5" s="2" t="s">
        <v>18</v>
      </c>
      <c r="E5" s="2">
        <v>1.5843052E7</v>
      </c>
      <c r="F5" s="2" t="s">
        <v>19</v>
      </c>
      <c r="G5" s="3">
        <v>45056.0</v>
      </c>
      <c r="H5" s="2">
        <v>2023.0</v>
      </c>
      <c r="I5" s="2">
        <v>5.0</v>
      </c>
      <c r="J5" s="2">
        <v>10.0</v>
      </c>
    </row>
    <row r="6">
      <c r="A6" s="2">
        <v>124.0</v>
      </c>
      <c r="B6" s="2" t="s">
        <v>20</v>
      </c>
      <c r="C6" s="2">
        <v>26.0</v>
      </c>
      <c r="D6" s="2" t="s">
        <v>21</v>
      </c>
      <c r="E6" s="2">
        <v>2.0E7</v>
      </c>
      <c r="F6" s="2" t="s">
        <v>22</v>
      </c>
      <c r="G6" s="3">
        <v>45051.0</v>
      </c>
      <c r="H6" s="2">
        <v>2023.0</v>
      </c>
      <c r="I6" s="2">
        <v>5.0</v>
      </c>
      <c r="J6" s="2">
        <v>5.0</v>
      </c>
    </row>
    <row r="7">
      <c r="A7" s="2">
        <v>110.0</v>
      </c>
      <c r="B7" s="2" t="s">
        <v>23</v>
      </c>
      <c r="C7" s="2">
        <v>23.0</v>
      </c>
      <c r="D7" s="2" t="s">
        <v>24</v>
      </c>
      <c r="E7" s="2">
        <v>1.9083912E7</v>
      </c>
      <c r="F7" s="2" t="s">
        <v>12</v>
      </c>
      <c r="G7" s="3">
        <v>44995.0</v>
      </c>
      <c r="H7" s="2">
        <v>2023.0</v>
      </c>
      <c r="I7" s="2">
        <v>3.0</v>
      </c>
      <c r="J7" s="2">
        <v>10.0</v>
      </c>
    </row>
    <row r="8">
      <c r="A8" s="2">
        <v>99.0</v>
      </c>
      <c r="B8" s="2" t="s">
        <v>25</v>
      </c>
      <c r="C8" s="2">
        <v>54.0</v>
      </c>
      <c r="D8" s="2" t="s">
        <v>26</v>
      </c>
      <c r="E8" s="2">
        <v>8936569.0</v>
      </c>
      <c r="F8" s="2" t="s">
        <v>19</v>
      </c>
      <c r="G8" s="3">
        <v>44940.0</v>
      </c>
      <c r="H8" s="2">
        <v>2023.0</v>
      </c>
      <c r="I8" s="2">
        <v>1.0</v>
      </c>
      <c r="J8" s="2">
        <v>14.0</v>
      </c>
    </row>
    <row r="9">
      <c r="A9" s="2">
        <v>62.0</v>
      </c>
      <c r="B9" s="2" t="s">
        <v>27</v>
      </c>
      <c r="C9" s="2">
        <v>51.0</v>
      </c>
      <c r="D9" s="2" t="s">
        <v>24</v>
      </c>
      <c r="E9" s="2">
        <v>1.1766009E7</v>
      </c>
      <c r="F9" s="2" t="s">
        <v>19</v>
      </c>
      <c r="G9" s="3">
        <v>45269.0</v>
      </c>
      <c r="H9" s="2">
        <v>2023.0</v>
      </c>
      <c r="I9" s="2">
        <v>12.0</v>
      </c>
      <c r="J9" s="2">
        <v>9.0</v>
      </c>
    </row>
    <row r="10">
      <c r="A10" s="2">
        <v>49.0</v>
      </c>
      <c r="B10" s="2" t="s">
        <v>28</v>
      </c>
      <c r="C10" s="2">
        <v>51.0</v>
      </c>
      <c r="D10" s="2" t="s">
        <v>26</v>
      </c>
      <c r="E10" s="2">
        <v>1.8099831E7</v>
      </c>
      <c r="F10" s="2" t="s">
        <v>12</v>
      </c>
      <c r="G10" s="3">
        <v>45255.0</v>
      </c>
      <c r="H10" s="2">
        <v>2023.0</v>
      </c>
      <c r="I10" s="2">
        <v>11.0</v>
      </c>
      <c r="J10" s="2">
        <v>25.0</v>
      </c>
    </row>
    <row r="11">
      <c r="A11" s="2">
        <v>22.0</v>
      </c>
      <c r="B11" s="2" t="s">
        <v>29</v>
      </c>
      <c r="C11" s="2">
        <v>35.0</v>
      </c>
      <c r="D11" s="2" t="s">
        <v>11</v>
      </c>
      <c r="E11" s="2">
        <v>1.4000239E7</v>
      </c>
      <c r="F11" s="2" t="s">
        <v>22</v>
      </c>
      <c r="G11" s="3">
        <v>45141.0</v>
      </c>
      <c r="H11" s="2">
        <v>2023.0</v>
      </c>
      <c r="I11" s="2">
        <v>8.0</v>
      </c>
      <c r="J11" s="2">
        <v>3.0</v>
      </c>
    </row>
    <row r="12">
      <c r="A12" s="2">
        <v>70.0</v>
      </c>
      <c r="B12" s="2" t="s">
        <v>30</v>
      </c>
      <c r="C12" s="2">
        <v>24.0</v>
      </c>
      <c r="D12" s="2" t="s">
        <v>24</v>
      </c>
      <c r="E12" s="2">
        <v>1.4715249E7</v>
      </c>
      <c r="F12" s="2" t="s">
        <v>19</v>
      </c>
      <c r="G12" s="3">
        <v>44961.0</v>
      </c>
      <c r="H12" s="2">
        <v>2023.0</v>
      </c>
      <c r="I12" s="2">
        <v>2.0</v>
      </c>
      <c r="J12" s="2">
        <v>4.0</v>
      </c>
    </row>
    <row r="13">
      <c r="A13" s="2">
        <v>42.0</v>
      </c>
      <c r="B13" s="2" t="s">
        <v>31</v>
      </c>
      <c r="C13" s="2">
        <v>21.0</v>
      </c>
      <c r="D13" s="2" t="s">
        <v>32</v>
      </c>
      <c r="E13" s="2">
        <v>1.774707E7</v>
      </c>
      <c r="F13" s="2" t="s">
        <v>19</v>
      </c>
      <c r="G13" s="3">
        <v>45228.0</v>
      </c>
      <c r="H13" s="2">
        <v>2023.0</v>
      </c>
      <c r="I13" s="2">
        <v>10.0</v>
      </c>
      <c r="J13" s="2">
        <v>29.0</v>
      </c>
    </row>
    <row r="14">
      <c r="A14" s="2">
        <v>57.0</v>
      </c>
      <c r="B14" s="2" t="s">
        <v>33</v>
      </c>
      <c r="C14" s="2">
        <v>29.0</v>
      </c>
      <c r="D14" s="2" t="s">
        <v>11</v>
      </c>
      <c r="E14" s="2">
        <v>1.1336918E7</v>
      </c>
      <c r="F14" s="2" t="s">
        <v>12</v>
      </c>
      <c r="G14" s="3">
        <v>45160.0</v>
      </c>
      <c r="H14" s="2">
        <v>2023.0</v>
      </c>
      <c r="I14" s="2">
        <v>8.0</v>
      </c>
      <c r="J14" s="2">
        <v>22.0</v>
      </c>
    </row>
    <row r="15">
      <c r="A15" s="2">
        <v>148.0</v>
      </c>
      <c r="B15" s="2" t="s">
        <v>34</v>
      </c>
      <c r="C15" s="2">
        <v>48.0</v>
      </c>
      <c r="D15" s="2" t="s">
        <v>21</v>
      </c>
      <c r="E15" s="2">
        <v>1.9604676E7</v>
      </c>
      <c r="F15" s="2" t="s">
        <v>22</v>
      </c>
      <c r="G15" s="3">
        <v>45201.0</v>
      </c>
      <c r="H15" s="2">
        <v>2023.0</v>
      </c>
      <c r="I15" s="2">
        <v>10.0</v>
      </c>
      <c r="J15" s="2">
        <v>2.0</v>
      </c>
    </row>
    <row r="16">
      <c r="A16" s="2">
        <v>143.0</v>
      </c>
      <c r="B16" s="2" t="s">
        <v>35</v>
      </c>
      <c r="C16" s="2">
        <v>38.0</v>
      </c>
      <c r="D16" s="2" t="s">
        <v>32</v>
      </c>
      <c r="E16" s="2">
        <v>1.5456081E7</v>
      </c>
      <c r="F16" s="2" t="s">
        <v>12</v>
      </c>
      <c r="G16" s="3">
        <v>45096.0</v>
      </c>
      <c r="H16" s="2">
        <v>2023.0</v>
      </c>
      <c r="I16" s="2">
        <v>6.0</v>
      </c>
      <c r="J16" s="2">
        <v>19.0</v>
      </c>
    </row>
    <row r="17">
      <c r="A17" s="2">
        <v>134.0</v>
      </c>
      <c r="B17" s="2" t="s">
        <v>36</v>
      </c>
      <c r="C17" s="2">
        <v>18.0</v>
      </c>
      <c r="D17" s="2" t="s">
        <v>32</v>
      </c>
      <c r="E17" s="2">
        <v>4273781.0</v>
      </c>
      <c r="F17" s="2" t="s">
        <v>12</v>
      </c>
      <c r="G17" s="3">
        <v>45111.0</v>
      </c>
      <c r="H17" s="2">
        <v>2023.0</v>
      </c>
      <c r="I17" s="2">
        <v>7.0</v>
      </c>
      <c r="J17" s="2">
        <v>4.0</v>
      </c>
    </row>
    <row r="18">
      <c r="A18" s="2">
        <v>139.0</v>
      </c>
      <c r="B18" s="2" t="s">
        <v>37</v>
      </c>
      <c r="C18" s="2">
        <v>19.0</v>
      </c>
      <c r="D18" s="2" t="s">
        <v>26</v>
      </c>
      <c r="E18" s="2">
        <v>1.6402061E7</v>
      </c>
      <c r="F18" s="2" t="s">
        <v>12</v>
      </c>
      <c r="G18" s="3">
        <v>45024.0</v>
      </c>
      <c r="H18" s="2">
        <v>2023.0</v>
      </c>
      <c r="I18" s="2">
        <v>4.0</v>
      </c>
      <c r="J18" s="2">
        <v>8.0</v>
      </c>
    </row>
    <row r="19">
      <c r="A19" s="2">
        <v>60.0</v>
      </c>
      <c r="B19" s="2" t="s">
        <v>38</v>
      </c>
      <c r="C19" s="2">
        <v>48.0</v>
      </c>
      <c r="D19" s="2" t="s">
        <v>26</v>
      </c>
      <c r="E19" s="2">
        <v>1.9309592E7</v>
      </c>
      <c r="F19" s="2" t="s">
        <v>12</v>
      </c>
      <c r="G19" s="3">
        <v>45052.0</v>
      </c>
      <c r="H19" s="2">
        <v>2023.0</v>
      </c>
      <c r="I19" s="2">
        <v>5.0</v>
      </c>
      <c r="J19" s="2">
        <v>6.0</v>
      </c>
    </row>
    <row r="20">
      <c r="A20" s="2">
        <v>20.0</v>
      </c>
      <c r="B20" s="2" t="s">
        <v>39</v>
      </c>
      <c r="C20" s="2">
        <v>56.0</v>
      </c>
      <c r="D20" s="2" t="s">
        <v>24</v>
      </c>
      <c r="E20" s="2">
        <v>1.7798272E7</v>
      </c>
      <c r="F20" s="2" t="s">
        <v>12</v>
      </c>
      <c r="G20" s="3">
        <v>45094.0</v>
      </c>
      <c r="H20" s="2">
        <v>2023.0</v>
      </c>
      <c r="I20" s="2">
        <v>6.0</v>
      </c>
      <c r="J20" s="2">
        <v>17.0</v>
      </c>
    </row>
    <row r="21" ht="15.75" customHeight="1">
      <c r="A21" s="2">
        <v>92.0</v>
      </c>
      <c r="B21" s="2" t="s">
        <v>40</v>
      </c>
      <c r="C21" s="2">
        <v>20.0</v>
      </c>
      <c r="D21" s="2" t="s">
        <v>14</v>
      </c>
      <c r="E21" s="2">
        <v>1.0027036E7</v>
      </c>
      <c r="F21" s="2" t="s">
        <v>12</v>
      </c>
      <c r="G21" s="3">
        <v>44950.0</v>
      </c>
      <c r="H21" s="2">
        <v>2023.0</v>
      </c>
      <c r="I21" s="2">
        <v>1.0</v>
      </c>
      <c r="J21" s="2">
        <v>24.0</v>
      </c>
    </row>
    <row r="22" ht="15.75" customHeight="1">
      <c r="A22" s="2">
        <v>51.0</v>
      </c>
      <c r="B22" s="2" t="s">
        <v>41</v>
      </c>
      <c r="C22" s="2">
        <v>59.0</v>
      </c>
      <c r="D22" s="2" t="s">
        <v>14</v>
      </c>
      <c r="E22" s="2">
        <v>1.9118158E7</v>
      </c>
      <c r="F22" s="2" t="s">
        <v>19</v>
      </c>
      <c r="G22" s="3">
        <v>45282.0</v>
      </c>
      <c r="H22" s="2">
        <v>2023.0</v>
      </c>
      <c r="I22" s="2">
        <v>12.0</v>
      </c>
      <c r="J22" s="2">
        <v>22.0</v>
      </c>
    </row>
    <row r="23" ht="15.75" customHeight="1">
      <c r="A23" s="2">
        <v>127.0</v>
      </c>
      <c r="B23" s="2" t="s">
        <v>42</v>
      </c>
      <c r="C23" s="2">
        <v>25.0</v>
      </c>
      <c r="D23" s="2" t="s">
        <v>26</v>
      </c>
      <c r="E23" s="2">
        <v>1.498406E7</v>
      </c>
      <c r="F23" s="2" t="s">
        <v>12</v>
      </c>
      <c r="G23" s="3">
        <v>45272.0</v>
      </c>
      <c r="H23" s="2">
        <v>2023.0</v>
      </c>
      <c r="I23" s="2">
        <v>12.0</v>
      </c>
      <c r="J23" s="2">
        <v>12.0</v>
      </c>
    </row>
    <row r="24" ht="15.75" customHeight="1">
      <c r="A24" s="2">
        <v>135.0</v>
      </c>
      <c r="B24" s="2" t="s">
        <v>43</v>
      </c>
      <c r="C24" s="2">
        <v>58.0</v>
      </c>
      <c r="D24" s="2" t="s">
        <v>24</v>
      </c>
      <c r="E24" s="2">
        <v>7428696.0</v>
      </c>
      <c r="F24" s="2" t="s">
        <v>12</v>
      </c>
      <c r="G24" s="3">
        <v>45091.0</v>
      </c>
      <c r="H24" s="2">
        <v>2023.0</v>
      </c>
      <c r="I24" s="2">
        <v>6.0</v>
      </c>
      <c r="J24" s="2">
        <v>14.0</v>
      </c>
    </row>
    <row r="25" ht="15.75" customHeight="1">
      <c r="A25" s="2">
        <v>98.0</v>
      </c>
      <c r="B25" s="2" t="s">
        <v>44</v>
      </c>
      <c r="C25" s="2">
        <v>50.0</v>
      </c>
      <c r="D25" s="2" t="s">
        <v>26</v>
      </c>
      <c r="E25" s="2">
        <v>3940656.0</v>
      </c>
      <c r="F25" s="2" t="s">
        <v>19</v>
      </c>
      <c r="G25" s="3">
        <v>45006.0</v>
      </c>
      <c r="H25" s="2">
        <v>2023.0</v>
      </c>
      <c r="I25" s="2">
        <v>3.0</v>
      </c>
      <c r="J25" s="2">
        <v>21.0</v>
      </c>
    </row>
    <row r="26" ht="15.75" customHeight="1">
      <c r="A26" s="2">
        <v>87.0</v>
      </c>
      <c r="B26" s="2" t="s">
        <v>45</v>
      </c>
      <c r="C26" s="2">
        <v>54.0</v>
      </c>
      <c r="D26" s="2" t="s">
        <v>14</v>
      </c>
      <c r="E26" s="2">
        <v>8341592.0</v>
      </c>
      <c r="F26" s="2" t="s">
        <v>12</v>
      </c>
      <c r="G26" s="3">
        <v>45156.0</v>
      </c>
      <c r="H26" s="2">
        <v>2023.0</v>
      </c>
      <c r="I26" s="2">
        <v>8.0</v>
      </c>
      <c r="J26" s="2">
        <v>18.0</v>
      </c>
    </row>
    <row r="27" ht="15.75" customHeight="1">
      <c r="A27" s="2">
        <v>136.0</v>
      </c>
      <c r="B27" s="2" t="s">
        <v>46</v>
      </c>
      <c r="C27" s="2">
        <v>36.0</v>
      </c>
      <c r="D27" s="2" t="s">
        <v>32</v>
      </c>
      <c r="E27" s="2">
        <v>1.5476588E7</v>
      </c>
      <c r="F27" s="2" t="s">
        <v>22</v>
      </c>
      <c r="G27" s="3">
        <v>45159.0</v>
      </c>
      <c r="H27" s="2">
        <v>2023.0</v>
      </c>
      <c r="I27" s="2">
        <v>8.0</v>
      </c>
      <c r="J27" s="2">
        <v>21.0</v>
      </c>
    </row>
    <row r="28" ht="15.75" customHeight="1">
      <c r="A28" s="2">
        <v>3.0</v>
      </c>
      <c r="B28" s="2" t="s">
        <v>47</v>
      </c>
      <c r="C28" s="2">
        <v>49.0</v>
      </c>
      <c r="D28" s="2" t="s">
        <v>24</v>
      </c>
      <c r="E28" s="2">
        <v>7341151.0</v>
      </c>
      <c r="F28" s="2" t="s">
        <v>19</v>
      </c>
      <c r="G28" s="3">
        <v>45180.0</v>
      </c>
      <c r="H28" s="2">
        <v>2023.0</v>
      </c>
      <c r="I28" s="2">
        <v>9.0</v>
      </c>
      <c r="J28" s="2">
        <v>11.0</v>
      </c>
    </row>
    <row r="29" ht="15.75" customHeight="1">
      <c r="A29" s="2">
        <v>131.0</v>
      </c>
      <c r="B29" s="2" t="s">
        <v>48</v>
      </c>
      <c r="C29" s="2">
        <v>21.0</v>
      </c>
      <c r="D29" s="2" t="s">
        <v>32</v>
      </c>
      <c r="E29" s="2">
        <v>1.3436619E7</v>
      </c>
      <c r="F29" s="2" t="s">
        <v>19</v>
      </c>
      <c r="G29" s="3">
        <v>45119.0</v>
      </c>
      <c r="H29" s="2">
        <v>2023.0</v>
      </c>
      <c r="I29" s="2">
        <v>7.0</v>
      </c>
      <c r="J29" s="2">
        <v>12.0</v>
      </c>
    </row>
    <row r="30" ht="15.75" customHeight="1">
      <c r="A30" s="2">
        <v>108.0</v>
      </c>
      <c r="B30" s="2" t="s">
        <v>49</v>
      </c>
      <c r="C30" s="2">
        <v>27.0</v>
      </c>
      <c r="D30" s="2" t="s">
        <v>24</v>
      </c>
      <c r="E30" s="2">
        <v>1.3309617E7</v>
      </c>
      <c r="F30" s="2" t="s">
        <v>12</v>
      </c>
      <c r="G30" s="3">
        <v>44983.0</v>
      </c>
      <c r="H30" s="2">
        <v>2023.0</v>
      </c>
      <c r="I30" s="2">
        <v>2.0</v>
      </c>
      <c r="J30" s="2">
        <v>26.0</v>
      </c>
    </row>
    <row r="31" ht="15.75" customHeight="1">
      <c r="A31" s="2">
        <v>53.0</v>
      </c>
      <c r="B31" s="2" t="s">
        <v>50</v>
      </c>
      <c r="C31" s="2">
        <v>34.0</v>
      </c>
      <c r="D31" s="2" t="s">
        <v>16</v>
      </c>
      <c r="E31" s="2">
        <v>1.2833134E7</v>
      </c>
      <c r="F31" s="2" t="s">
        <v>19</v>
      </c>
      <c r="G31" s="3">
        <v>45082.0</v>
      </c>
      <c r="H31" s="2">
        <v>2023.0</v>
      </c>
      <c r="I31" s="2">
        <v>6.0</v>
      </c>
      <c r="J31" s="2">
        <v>5.0</v>
      </c>
    </row>
    <row r="32" ht="15.75" customHeight="1">
      <c r="A32" s="2">
        <v>61.0</v>
      </c>
      <c r="B32" s="2" t="s">
        <v>51</v>
      </c>
      <c r="C32" s="2">
        <v>56.0</v>
      </c>
      <c r="D32" s="2" t="s">
        <v>26</v>
      </c>
      <c r="E32" s="2">
        <v>8356753.0</v>
      </c>
      <c r="F32" s="2" t="s">
        <v>12</v>
      </c>
      <c r="G32" s="3">
        <v>45255.0</v>
      </c>
      <c r="H32" s="2">
        <v>2023.0</v>
      </c>
      <c r="I32" s="2">
        <v>11.0</v>
      </c>
      <c r="J32" s="2">
        <v>25.0</v>
      </c>
    </row>
    <row r="33" ht="15.75" customHeight="1">
      <c r="A33" s="2">
        <v>67.0</v>
      </c>
      <c r="B33" s="2" t="s">
        <v>52</v>
      </c>
      <c r="C33" s="2">
        <v>48.0</v>
      </c>
      <c r="D33" s="2" t="s">
        <v>18</v>
      </c>
      <c r="E33" s="2">
        <v>1.5046387E7</v>
      </c>
      <c r="F33" s="2" t="s">
        <v>12</v>
      </c>
      <c r="G33" s="3">
        <v>44939.0</v>
      </c>
      <c r="H33" s="2">
        <v>2023.0</v>
      </c>
      <c r="I33" s="2">
        <v>1.0</v>
      </c>
      <c r="J33" s="2">
        <v>13.0</v>
      </c>
    </row>
    <row r="34" ht="15.75" customHeight="1">
      <c r="A34" s="2">
        <v>91.0</v>
      </c>
      <c r="B34" s="2" t="s">
        <v>53</v>
      </c>
      <c r="C34" s="2">
        <v>48.0</v>
      </c>
      <c r="D34" s="2" t="s">
        <v>14</v>
      </c>
      <c r="E34" s="2">
        <v>1.8298936E7</v>
      </c>
      <c r="F34" s="2" t="s">
        <v>12</v>
      </c>
      <c r="G34" s="3">
        <v>44993.0</v>
      </c>
      <c r="H34" s="2">
        <v>2023.0</v>
      </c>
      <c r="I34" s="2">
        <v>3.0</v>
      </c>
      <c r="J34" s="2">
        <v>8.0</v>
      </c>
    </row>
    <row r="35" ht="15.75" customHeight="1">
      <c r="A35" s="2">
        <v>63.0</v>
      </c>
      <c r="B35" s="2" t="s">
        <v>54</v>
      </c>
      <c r="C35" s="2">
        <v>20.0</v>
      </c>
      <c r="D35" s="2" t="s">
        <v>24</v>
      </c>
      <c r="E35" s="2">
        <v>1.2742482E7</v>
      </c>
      <c r="F35" s="2" t="s">
        <v>12</v>
      </c>
      <c r="G35" s="3">
        <v>45048.0</v>
      </c>
      <c r="H35" s="2">
        <v>2023.0</v>
      </c>
      <c r="I35" s="2">
        <v>5.0</v>
      </c>
      <c r="J35" s="2">
        <v>2.0</v>
      </c>
    </row>
    <row r="36" ht="15.75" customHeight="1">
      <c r="A36" s="2">
        <v>72.0</v>
      </c>
      <c r="B36" s="2" t="s">
        <v>55</v>
      </c>
      <c r="C36" s="2">
        <v>47.0</v>
      </c>
      <c r="D36" s="2" t="s">
        <v>32</v>
      </c>
      <c r="E36" s="2">
        <v>8753091.0</v>
      </c>
      <c r="F36" s="2" t="s">
        <v>12</v>
      </c>
      <c r="G36" s="3">
        <v>45269.0</v>
      </c>
      <c r="H36" s="2">
        <v>2023.0</v>
      </c>
      <c r="I36" s="2">
        <v>12.0</v>
      </c>
      <c r="J36" s="2">
        <v>9.0</v>
      </c>
    </row>
    <row r="37" ht="15.75" customHeight="1">
      <c r="A37" s="2">
        <v>129.0</v>
      </c>
      <c r="B37" s="2" t="s">
        <v>56</v>
      </c>
      <c r="C37" s="2">
        <v>18.0</v>
      </c>
      <c r="D37" s="2" t="s">
        <v>32</v>
      </c>
      <c r="E37" s="2">
        <v>1.5180706E7</v>
      </c>
      <c r="F37" s="2" t="s">
        <v>12</v>
      </c>
      <c r="G37" s="3">
        <v>45030.0</v>
      </c>
      <c r="H37" s="2">
        <v>2023.0</v>
      </c>
      <c r="I37" s="2">
        <v>4.0</v>
      </c>
      <c r="J37" s="2">
        <v>14.0</v>
      </c>
    </row>
    <row r="38" ht="15.75" customHeight="1">
      <c r="A38" s="2">
        <v>38.0</v>
      </c>
      <c r="B38" s="2" t="s">
        <v>57</v>
      </c>
      <c r="C38" s="2">
        <v>52.0</v>
      </c>
      <c r="D38" s="2" t="s">
        <v>18</v>
      </c>
      <c r="E38" s="2">
        <v>1.0792766E7</v>
      </c>
      <c r="F38" s="2" t="s">
        <v>12</v>
      </c>
      <c r="G38" s="3">
        <v>45145.0</v>
      </c>
      <c r="H38" s="2">
        <v>2023.0</v>
      </c>
      <c r="I38" s="2">
        <v>8.0</v>
      </c>
      <c r="J38" s="2">
        <v>7.0</v>
      </c>
    </row>
    <row r="39" ht="15.75" customHeight="1">
      <c r="A39" s="2">
        <v>138.0</v>
      </c>
      <c r="B39" s="2" t="s">
        <v>58</v>
      </c>
      <c r="C39" s="2">
        <v>54.0</v>
      </c>
      <c r="D39" s="2" t="s">
        <v>24</v>
      </c>
      <c r="E39" s="2">
        <v>9066315.0</v>
      </c>
      <c r="F39" s="2" t="s">
        <v>22</v>
      </c>
      <c r="G39" s="3">
        <v>45247.0</v>
      </c>
      <c r="H39" s="2">
        <v>2023.0</v>
      </c>
      <c r="I39" s="2">
        <v>11.0</v>
      </c>
      <c r="J39" s="2">
        <v>17.0</v>
      </c>
    </row>
    <row r="40" ht="15.75" customHeight="1">
      <c r="A40" s="2">
        <v>12.0</v>
      </c>
      <c r="B40" s="2" t="s">
        <v>59</v>
      </c>
      <c r="C40" s="2">
        <v>34.0</v>
      </c>
      <c r="D40" s="2" t="s">
        <v>14</v>
      </c>
      <c r="E40" s="2">
        <v>1.3192406E7</v>
      </c>
      <c r="F40" s="2" t="s">
        <v>12</v>
      </c>
      <c r="G40" s="3">
        <v>45015.0</v>
      </c>
      <c r="H40" s="2">
        <v>2023.0</v>
      </c>
      <c r="I40" s="2">
        <v>3.0</v>
      </c>
      <c r="J40" s="2">
        <v>30.0</v>
      </c>
    </row>
    <row r="41" ht="15.75" customHeight="1">
      <c r="A41" s="2">
        <v>104.0</v>
      </c>
      <c r="B41" s="2" t="s">
        <v>60</v>
      </c>
      <c r="C41" s="2">
        <v>55.0</v>
      </c>
      <c r="D41" s="2" t="s">
        <v>24</v>
      </c>
      <c r="E41" s="2">
        <v>1.1073609E7</v>
      </c>
      <c r="F41" s="2" t="s">
        <v>12</v>
      </c>
      <c r="G41" s="3">
        <v>45120.0</v>
      </c>
      <c r="H41" s="2">
        <v>2023.0</v>
      </c>
      <c r="I41" s="2">
        <v>7.0</v>
      </c>
      <c r="J41" s="2">
        <v>13.0</v>
      </c>
    </row>
    <row r="42" ht="15.75" customHeight="1">
      <c r="A42" s="2">
        <v>146.0</v>
      </c>
      <c r="B42" s="2" t="s">
        <v>61</v>
      </c>
      <c r="C42" s="2">
        <v>45.0</v>
      </c>
      <c r="D42" s="2" t="s">
        <v>26</v>
      </c>
      <c r="E42" s="2">
        <v>1.3493455E7</v>
      </c>
      <c r="F42" s="2" t="s">
        <v>12</v>
      </c>
      <c r="G42" s="3">
        <v>44935.0</v>
      </c>
      <c r="H42" s="2">
        <v>2023.0</v>
      </c>
      <c r="I42" s="2">
        <v>1.0</v>
      </c>
      <c r="J42" s="2">
        <v>9.0</v>
      </c>
    </row>
    <row r="43" ht="15.75" customHeight="1">
      <c r="A43" s="2">
        <v>2.0</v>
      </c>
      <c r="B43" s="2" t="s">
        <v>62</v>
      </c>
      <c r="C43" s="2">
        <v>45.0</v>
      </c>
      <c r="D43" s="2" t="s">
        <v>21</v>
      </c>
      <c r="E43" s="2">
        <v>9640118.0</v>
      </c>
      <c r="F43" s="2" t="s">
        <v>19</v>
      </c>
      <c r="G43" s="3">
        <v>44967.0</v>
      </c>
      <c r="H43" s="2">
        <v>2023.0</v>
      </c>
      <c r="I43" s="2">
        <v>2.0</v>
      </c>
      <c r="J43" s="2">
        <v>10.0</v>
      </c>
    </row>
    <row r="44" ht="15.75" customHeight="1">
      <c r="A44" s="2">
        <v>64.0</v>
      </c>
      <c r="B44" s="2" t="s">
        <v>63</v>
      </c>
      <c r="C44" s="2">
        <v>29.0</v>
      </c>
      <c r="D44" s="2" t="s">
        <v>24</v>
      </c>
      <c r="E44" s="2">
        <v>1.788145E7</v>
      </c>
      <c r="F44" s="2" t="s">
        <v>22</v>
      </c>
      <c r="G44" s="3">
        <v>45094.0</v>
      </c>
      <c r="H44" s="2">
        <v>2023.0</v>
      </c>
      <c r="I44" s="2">
        <v>6.0</v>
      </c>
      <c r="J44" s="2">
        <v>17.0</v>
      </c>
    </row>
    <row r="45" ht="15.75" customHeight="1">
      <c r="A45" s="2">
        <v>25.0</v>
      </c>
      <c r="B45" s="2" t="s">
        <v>64</v>
      </c>
      <c r="C45" s="2">
        <v>36.0</v>
      </c>
      <c r="D45" s="2" t="s">
        <v>21</v>
      </c>
      <c r="E45" s="2">
        <v>1.152095E7</v>
      </c>
      <c r="F45" s="2" t="s">
        <v>19</v>
      </c>
      <c r="G45" s="3">
        <v>45072.0</v>
      </c>
      <c r="H45" s="2">
        <v>2023.0</v>
      </c>
      <c r="I45" s="2">
        <v>5.0</v>
      </c>
      <c r="J45" s="2">
        <v>26.0</v>
      </c>
    </row>
    <row r="46" ht="15.75" customHeight="1">
      <c r="A46" s="2">
        <v>10.0</v>
      </c>
      <c r="B46" s="2" t="s">
        <v>65</v>
      </c>
      <c r="C46" s="2">
        <v>26.0</v>
      </c>
      <c r="D46" s="2" t="s">
        <v>18</v>
      </c>
      <c r="E46" s="2">
        <v>6335767.0</v>
      </c>
      <c r="F46" s="2" t="s">
        <v>22</v>
      </c>
      <c r="G46" s="3">
        <v>44963.0</v>
      </c>
      <c r="H46" s="2">
        <v>2023.0</v>
      </c>
      <c r="I46" s="2">
        <v>2.0</v>
      </c>
      <c r="J46" s="2">
        <v>6.0</v>
      </c>
    </row>
    <row r="47" ht="15.75" customHeight="1">
      <c r="A47" s="2">
        <v>66.0</v>
      </c>
      <c r="B47" s="2" t="s">
        <v>66</v>
      </c>
      <c r="C47" s="2">
        <v>45.0</v>
      </c>
      <c r="D47" s="2" t="s">
        <v>16</v>
      </c>
      <c r="E47" s="2">
        <v>1.5936702E7</v>
      </c>
      <c r="F47" s="2" t="s">
        <v>19</v>
      </c>
      <c r="G47" s="3">
        <v>45054.0</v>
      </c>
      <c r="H47" s="2">
        <v>2023.0</v>
      </c>
      <c r="I47" s="2">
        <v>5.0</v>
      </c>
      <c r="J47" s="2">
        <v>8.0</v>
      </c>
    </row>
    <row r="48" ht="15.75" customHeight="1">
      <c r="A48" s="2">
        <v>133.0</v>
      </c>
      <c r="B48" s="2" t="s">
        <v>67</v>
      </c>
      <c r="C48" s="2">
        <v>46.0</v>
      </c>
      <c r="D48" s="2" t="s">
        <v>21</v>
      </c>
      <c r="E48" s="2">
        <v>1.187642E7</v>
      </c>
      <c r="F48" s="2" t="s">
        <v>12</v>
      </c>
      <c r="G48" s="3">
        <v>44931.0</v>
      </c>
      <c r="H48" s="2">
        <v>2023.0</v>
      </c>
      <c r="I48" s="2">
        <v>1.0</v>
      </c>
      <c r="J48" s="2">
        <v>5.0</v>
      </c>
    </row>
    <row r="49" ht="15.75" customHeight="1">
      <c r="A49" s="2">
        <v>97.0</v>
      </c>
      <c r="B49" s="2" t="s">
        <v>68</v>
      </c>
      <c r="C49" s="2">
        <v>34.0</v>
      </c>
      <c r="D49" s="2" t="s">
        <v>24</v>
      </c>
      <c r="E49" s="2">
        <v>1.5893175E7</v>
      </c>
      <c r="F49" s="2" t="s">
        <v>19</v>
      </c>
      <c r="G49" s="3">
        <v>45040.0</v>
      </c>
      <c r="H49" s="2">
        <v>2023.0</v>
      </c>
      <c r="I49" s="2">
        <v>4.0</v>
      </c>
      <c r="J49" s="2">
        <v>24.0</v>
      </c>
    </row>
    <row r="50" ht="15.75" customHeight="1">
      <c r="A50" s="2">
        <v>74.0</v>
      </c>
      <c r="B50" s="2" t="s">
        <v>69</v>
      </c>
      <c r="C50" s="2">
        <v>55.0</v>
      </c>
      <c r="D50" s="2" t="s">
        <v>21</v>
      </c>
      <c r="E50" s="2">
        <v>1.3773969E7</v>
      </c>
      <c r="F50" s="2" t="s">
        <v>12</v>
      </c>
      <c r="G50" s="3">
        <v>44986.0</v>
      </c>
      <c r="H50" s="2">
        <v>2023.0</v>
      </c>
      <c r="I50" s="2">
        <v>3.0</v>
      </c>
      <c r="J50" s="2">
        <v>1.0</v>
      </c>
    </row>
    <row r="51" ht="15.75" customHeight="1">
      <c r="A51" s="2">
        <v>84.0</v>
      </c>
      <c r="B51" s="2" t="s">
        <v>70</v>
      </c>
      <c r="C51" s="2">
        <v>55.0</v>
      </c>
      <c r="D51" s="2" t="s">
        <v>18</v>
      </c>
      <c r="E51" s="2">
        <v>1.5726492E7</v>
      </c>
      <c r="F51" s="2" t="s">
        <v>12</v>
      </c>
      <c r="G51" s="3">
        <v>45212.0</v>
      </c>
      <c r="H51" s="2">
        <v>2023.0</v>
      </c>
      <c r="I51" s="2">
        <v>10.0</v>
      </c>
      <c r="J51" s="2">
        <v>13.0</v>
      </c>
    </row>
    <row r="52" ht="15.75" customHeight="1">
      <c r="A52" s="2">
        <v>54.0</v>
      </c>
      <c r="B52" s="2" t="s">
        <v>71</v>
      </c>
      <c r="C52" s="2">
        <v>36.0</v>
      </c>
      <c r="D52" s="2" t="s">
        <v>26</v>
      </c>
      <c r="E52" s="2">
        <v>5691998.0</v>
      </c>
      <c r="F52" s="2" t="s">
        <v>12</v>
      </c>
      <c r="G52" s="3">
        <v>45203.0</v>
      </c>
      <c r="H52" s="2">
        <v>2023.0</v>
      </c>
      <c r="I52" s="2">
        <v>10.0</v>
      </c>
      <c r="J52" s="2">
        <v>4.0</v>
      </c>
    </row>
    <row r="53" ht="15.75" customHeight="1">
      <c r="A53" s="2">
        <v>18.0</v>
      </c>
      <c r="B53" s="2" t="s">
        <v>72</v>
      </c>
      <c r="C53" s="2">
        <v>25.0</v>
      </c>
      <c r="D53" s="2" t="s">
        <v>26</v>
      </c>
      <c r="E53" s="2">
        <v>6858739.0</v>
      </c>
      <c r="F53" s="2" t="s">
        <v>19</v>
      </c>
      <c r="G53" s="3">
        <v>45210.0</v>
      </c>
      <c r="H53" s="2">
        <v>2023.0</v>
      </c>
      <c r="I53" s="2">
        <v>10.0</v>
      </c>
      <c r="J53" s="2">
        <v>11.0</v>
      </c>
    </row>
    <row r="54" ht="15.75" customHeight="1">
      <c r="A54" s="2">
        <v>103.0</v>
      </c>
      <c r="B54" s="2" t="s">
        <v>73</v>
      </c>
      <c r="C54" s="2">
        <v>53.0</v>
      </c>
      <c r="D54" s="2" t="s">
        <v>26</v>
      </c>
      <c r="E54" s="2">
        <v>8755815.0</v>
      </c>
      <c r="F54" s="2" t="s">
        <v>12</v>
      </c>
      <c r="G54" s="3">
        <v>44947.0</v>
      </c>
      <c r="H54" s="2">
        <v>2023.0</v>
      </c>
      <c r="I54" s="2">
        <v>1.0</v>
      </c>
      <c r="J54" s="2">
        <v>21.0</v>
      </c>
    </row>
    <row r="55" ht="15.75" customHeight="1">
      <c r="A55" s="2">
        <v>89.0</v>
      </c>
      <c r="B55" s="2" t="s">
        <v>74</v>
      </c>
      <c r="C55" s="2">
        <v>27.0</v>
      </c>
      <c r="D55" s="2" t="s">
        <v>21</v>
      </c>
      <c r="E55" s="2">
        <v>1.7464535E7</v>
      </c>
      <c r="F55" s="2" t="s">
        <v>12</v>
      </c>
      <c r="G55" s="3">
        <v>45014.0</v>
      </c>
      <c r="H55" s="2">
        <v>2023.0</v>
      </c>
      <c r="I55" s="2">
        <v>3.0</v>
      </c>
      <c r="J55" s="2">
        <v>29.0</v>
      </c>
    </row>
    <row r="56" ht="15.75" customHeight="1">
      <c r="A56" s="2">
        <v>19.0</v>
      </c>
      <c r="B56" s="2" t="s">
        <v>75</v>
      </c>
      <c r="C56" s="2">
        <v>18.0</v>
      </c>
      <c r="D56" s="2" t="s">
        <v>11</v>
      </c>
      <c r="E56" s="2">
        <v>1.8732209E7</v>
      </c>
      <c r="F56" s="2" t="s">
        <v>22</v>
      </c>
      <c r="G56" s="3">
        <v>44995.0</v>
      </c>
      <c r="H56" s="2">
        <v>2023.0</v>
      </c>
      <c r="I56" s="2">
        <v>3.0</v>
      </c>
      <c r="J56" s="2">
        <v>10.0</v>
      </c>
    </row>
    <row r="57" ht="15.75" customHeight="1">
      <c r="A57" s="2">
        <v>95.0</v>
      </c>
      <c r="B57" s="2" t="s">
        <v>76</v>
      </c>
      <c r="C57" s="2">
        <v>22.0</v>
      </c>
      <c r="D57" s="2" t="s">
        <v>14</v>
      </c>
      <c r="E57" s="2">
        <v>9467398.0</v>
      </c>
      <c r="F57" s="2" t="s">
        <v>12</v>
      </c>
      <c r="G57" s="3">
        <v>44938.0</v>
      </c>
      <c r="H57" s="2">
        <v>2023.0</v>
      </c>
      <c r="I57" s="2">
        <v>1.0</v>
      </c>
      <c r="J57" s="2">
        <v>12.0</v>
      </c>
    </row>
    <row r="58" ht="15.75" customHeight="1">
      <c r="A58" s="2">
        <v>24.0</v>
      </c>
      <c r="B58" s="2" t="s">
        <v>77</v>
      </c>
      <c r="C58" s="2">
        <v>35.0</v>
      </c>
      <c r="D58" s="2" t="s">
        <v>32</v>
      </c>
      <c r="E58" s="2">
        <v>7301639.0</v>
      </c>
      <c r="F58" s="2" t="s">
        <v>22</v>
      </c>
      <c r="G58" s="3">
        <v>45024.0</v>
      </c>
      <c r="H58" s="2">
        <v>2023.0</v>
      </c>
      <c r="I58" s="2">
        <v>4.0</v>
      </c>
      <c r="J58" s="2">
        <v>8.0</v>
      </c>
    </row>
    <row r="59" ht="15.75" customHeight="1">
      <c r="A59" s="2">
        <v>52.0</v>
      </c>
      <c r="B59" s="2" t="s">
        <v>78</v>
      </c>
      <c r="C59" s="2">
        <v>49.0</v>
      </c>
      <c r="D59" s="2" t="s">
        <v>14</v>
      </c>
      <c r="E59" s="2">
        <v>1.9370196E7</v>
      </c>
      <c r="F59" s="2" t="s">
        <v>19</v>
      </c>
      <c r="G59" s="3">
        <v>44992.0</v>
      </c>
      <c r="H59" s="2">
        <v>2023.0</v>
      </c>
      <c r="I59" s="2">
        <v>3.0</v>
      </c>
      <c r="J59" s="2">
        <v>7.0</v>
      </c>
    </row>
    <row r="60" ht="15.75" customHeight="1">
      <c r="A60" s="2">
        <v>123.0</v>
      </c>
      <c r="B60" s="2" t="s">
        <v>79</v>
      </c>
      <c r="C60" s="2">
        <v>20.0</v>
      </c>
      <c r="D60" s="2" t="s">
        <v>24</v>
      </c>
      <c r="E60" s="2">
        <v>1.4824387E7</v>
      </c>
      <c r="F60" s="2" t="s">
        <v>19</v>
      </c>
      <c r="G60" s="3">
        <v>45149.0</v>
      </c>
      <c r="H60" s="2">
        <v>2023.0</v>
      </c>
      <c r="I60" s="2">
        <v>8.0</v>
      </c>
      <c r="J60" s="2">
        <v>11.0</v>
      </c>
    </row>
    <row r="61" ht="15.75" customHeight="1">
      <c r="A61" s="2">
        <v>100.0</v>
      </c>
      <c r="B61" s="2" t="s">
        <v>80</v>
      </c>
      <c r="C61" s="2">
        <v>54.0</v>
      </c>
      <c r="D61" s="2" t="s">
        <v>11</v>
      </c>
      <c r="E61" s="2">
        <v>1.6132153E7</v>
      </c>
      <c r="F61" s="2" t="s">
        <v>12</v>
      </c>
      <c r="G61" s="3">
        <v>44940.0</v>
      </c>
      <c r="H61" s="2">
        <v>2023.0</v>
      </c>
      <c r="I61" s="2">
        <v>1.0</v>
      </c>
      <c r="J61" s="2">
        <v>14.0</v>
      </c>
    </row>
    <row r="62" ht="15.75" customHeight="1">
      <c r="A62" s="2">
        <v>77.0</v>
      </c>
      <c r="B62" s="2" t="s">
        <v>81</v>
      </c>
      <c r="C62" s="2">
        <v>49.0</v>
      </c>
      <c r="D62" s="2" t="s">
        <v>18</v>
      </c>
      <c r="E62" s="2">
        <v>5756349.0</v>
      </c>
      <c r="F62" s="2" t="s">
        <v>12</v>
      </c>
      <c r="G62" s="3">
        <v>45229.0</v>
      </c>
      <c r="H62" s="2">
        <v>2023.0</v>
      </c>
      <c r="I62" s="2">
        <v>10.0</v>
      </c>
      <c r="J62" s="2">
        <v>30.0</v>
      </c>
    </row>
    <row r="63" ht="15.75" customHeight="1">
      <c r="A63" s="2">
        <v>68.0</v>
      </c>
      <c r="B63" s="2" t="s">
        <v>82</v>
      </c>
      <c r="C63" s="2">
        <v>38.0</v>
      </c>
      <c r="D63" s="2" t="s">
        <v>21</v>
      </c>
      <c r="E63" s="2">
        <v>5873589.0</v>
      </c>
      <c r="F63" s="2" t="s">
        <v>12</v>
      </c>
      <c r="G63" s="3">
        <v>45285.0</v>
      </c>
      <c r="H63" s="2">
        <v>2023.0</v>
      </c>
      <c r="I63" s="2">
        <v>12.0</v>
      </c>
      <c r="J63" s="2">
        <v>25.0</v>
      </c>
    </row>
    <row r="64" ht="15.75" customHeight="1">
      <c r="A64" s="2">
        <v>150.0</v>
      </c>
      <c r="B64" s="2" t="s">
        <v>83</v>
      </c>
      <c r="C64" s="2">
        <v>26.0</v>
      </c>
      <c r="D64" s="2" t="s">
        <v>16</v>
      </c>
      <c r="E64" s="2">
        <v>3148508.0</v>
      </c>
      <c r="F64" s="2" t="s">
        <v>22</v>
      </c>
      <c r="G64" s="3">
        <v>45167.0</v>
      </c>
      <c r="H64" s="2">
        <v>2023.0</v>
      </c>
      <c r="I64" s="2">
        <v>8.0</v>
      </c>
      <c r="J64" s="2">
        <v>29.0</v>
      </c>
    </row>
    <row r="65" ht="15.75" customHeight="1">
      <c r="A65" s="2">
        <v>81.0</v>
      </c>
      <c r="B65" s="2" t="s">
        <v>84</v>
      </c>
      <c r="C65" s="2">
        <v>36.0</v>
      </c>
      <c r="D65" s="2" t="s">
        <v>14</v>
      </c>
      <c r="E65" s="2">
        <v>1.353794E7</v>
      </c>
      <c r="F65" s="2" t="s">
        <v>19</v>
      </c>
      <c r="G65" s="3">
        <v>45122.0</v>
      </c>
      <c r="H65" s="2">
        <v>2023.0</v>
      </c>
      <c r="I65" s="2">
        <v>7.0</v>
      </c>
      <c r="J65" s="2">
        <v>15.0</v>
      </c>
    </row>
    <row r="66" ht="15.75" customHeight="1">
      <c r="A66" s="2">
        <v>17.0</v>
      </c>
      <c r="B66" s="2" t="s">
        <v>85</v>
      </c>
      <c r="C66" s="2">
        <v>35.0</v>
      </c>
      <c r="D66" s="2" t="s">
        <v>21</v>
      </c>
      <c r="E66" s="2">
        <v>1.2252907E7</v>
      </c>
      <c r="F66" s="2" t="s">
        <v>19</v>
      </c>
      <c r="G66" s="3">
        <v>45132.0</v>
      </c>
      <c r="H66" s="2">
        <v>2023.0</v>
      </c>
      <c r="I66" s="2">
        <v>7.0</v>
      </c>
      <c r="J66" s="2">
        <v>25.0</v>
      </c>
    </row>
    <row r="67" ht="15.75" customHeight="1">
      <c r="A67" s="2">
        <v>73.0</v>
      </c>
      <c r="B67" s="2" t="s">
        <v>86</v>
      </c>
      <c r="C67" s="2">
        <v>45.0</v>
      </c>
      <c r="D67" s="2" t="s">
        <v>24</v>
      </c>
      <c r="E67" s="2">
        <v>9362138.0</v>
      </c>
      <c r="F67" s="2" t="s">
        <v>19</v>
      </c>
      <c r="G67" s="3">
        <v>45215.0</v>
      </c>
      <c r="H67" s="2">
        <v>2023.0</v>
      </c>
      <c r="I67" s="2">
        <v>10.0</v>
      </c>
      <c r="J67" s="2">
        <v>16.0</v>
      </c>
    </row>
    <row r="68" ht="15.75" customHeight="1">
      <c r="A68" s="2">
        <v>28.0</v>
      </c>
      <c r="B68" s="2" t="s">
        <v>87</v>
      </c>
      <c r="C68" s="2">
        <v>32.0</v>
      </c>
      <c r="D68" s="2" t="s">
        <v>26</v>
      </c>
      <c r="E68" s="2">
        <v>6262952.0</v>
      </c>
      <c r="F68" s="2" t="s">
        <v>22</v>
      </c>
      <c r="G68" s="3">
        <v>45176.0</v>
      </c>
      <c r="H68" s="2">
        <v>2023.0</v>
      </c>
      <c r="I68" s="2">
        <v>9.0</v>
      </c>
      <c r="J68" s="2">
        <v>7.0</v>
      </c>
    </row>
    <row r="69" ht="15.75" customHeight="1">
      <c r="A69" s="2">
        <v>86.0</v>
      </c>
      <c r="B69" s="2" t="s">
        <v>88</v>
      </c>
      <c r="C69" s="2">
        <v>46.0</v>
      </c>
      <c r="D69" s="2" t="s">
        <v>18</v>
      </c>
      <c r="E69" s="2">
        <v>1.0023859E7</v>
      </c>
      <c r="F69" s="2" t="s">
        <v>12</v>
      </c>
      <c r="G69" s="3">
        <v>45044.0</v>
      </c>
      <c r="H69" s="2">
        <v>2023.0</v>
      </c>
      <c r="I69" s="2">
        <v>4.0</v>
      </c>
      <c r="J69" s="2">
        <v>28.0</v>
      </c>
    </row>
    <row r="70" ht="15.75" customHeight="1">
      <c r="A70" s="2">
        <v>30.0</v>
      </c>
      <c r="B70" s="2" t="s">
        <v>89</v>
      </c>
      <c r="C70" s="2">
        <v>33.0</v>
      </c>
      <c r="D70" s="2" t="s">
        <v>32</v>
      </c>
      <c r="E70" s="2">
        <v>9354913.0</v>
      </c>
      <c r="F70" s="2" t="s">
        <v>19</v>
      </c>
      <c r="G70" s="3">
        <v>44937.0</v>
      </c>
      <c r="H70" s="2">
        <v>2023.0</v>
      </c>
      <c r="I70" s="2">
        <v>1.0</v>
      </c>
      <c r="J70" s="2">
        <v>11.0</v>
      </c>
    </row>
    <row r="71" ht="15.75" customHeight="1">
      <c r="A71" s="2">
        <v>83.0</v>
      </c>
      <c r="B71" s="2" t="s">
        <v>90</v>
      </c>
      <c r="C71" s="2">
        <v>23.0</v>
      </c>
      <c r="D71" s="2" t="s">
        <v>24</v>
      </c>
      <c r="E71" s="2">
        <v>1.9266307E7</v>
      </c>
      <c r="F71" s="2" t="s">
        <v>19</v>
      </c>
      <c r="G71" s="3">
        <v>45003.0</v>
      </c>
      <c r="H71" s="2">
        <v>2023.0</v>
      </c>
      <c r="I71" s="2">
        <v>3.0</v>
      </c>
      <c r="J71" s="2">
        <v>18.0</v>
      </c>
    </row>
    <row r="72" ht="15.75" customHeight="1">
      <c r="A72" s="2">
        <v>55.0</v>
      </c>
      <c r="B72" s="2" t="s">
        <v>91</v>
      </c>
      <c r="C72" s="2">
        <v>45.0</v>
      </c>
      <c r="D72" s="2" t="s">
        <v>11</v>
      </c>
      <c r="E72" s="2">
        <v>1.0712096E7</v>
      </c>
      <c r="F72" s="2" t="s">
        <v>12</v>
      </c>
      <c r="G72" s="3">
        <v>44987.0</v>
      </c>
      <c r="H72" s="2">
        <v>2023.0</v>
      </c>
      <c r="I72" s="2">
        <v>3.0</v>
      </c>
      <c r="J72" s="2">
        <v>2.0</v>
      </c>
    </row>
    <row r="73" ht="15.75" customHeight="1">
      <c r="A73" s="2">
        <v>114.0</v>
      </c>
      <c r="B73" s="2" t="s">
        <v>92</v>
      </c>
      <c r="C73" s="2">
        <v>26.0</v>
      </c>
      <c r="D73" s="2" t="s">
        <v>14</v>
      </c>
      <c r="E73" s="2">
        <v>3446580.0</v>
      </c>
      <c r="F73" s="2" t="s">
        <v>19</v>
      </c>
      <c r="G73" s="3">
        <v>45256.0</v>
      </c>
      <c r="H73" s="2">
        <v>2023.0</v>
      </c>
      <c r="I73" s="2">
        <v>11.0</v>
      </c>
      <c r="J73" s="2">
        <v>26.0</v>
      </c>
    </row>
    <row r="74" ht="15.75" customHeight="1">
      <c r="A74" s="2">
        <v>45.0</v>
      </c>
      <c r="B74" s="2" t="s">
        <v>93</v>
      </c>
      <c r="C74" s="2">
        <v>48.0</v>
      </c>
      <c r="D74" s="2" t="s">
        <v>21</v>
      </c>
      <c r="E74" s="2">
        <v>1.2967112E7</v>
      </c>
      <c r="F74" s="2" t="s">
        <v>12</v>
      </c>
      <c r="G74" s="3">
        <v>45215.0</v>
      </c>
      <c r="H74" s="2">
        <v>2023.0</v>
      </c>
      <c r="I74" s="2">
        <v>10.0</v>
      </c>
      <c r="J74" s="2">
        <v>16.0</v>
      </c>
    </row>
    <row r="75" ht="15.75" customHeight="1">
      <c r="A75" s="2">
        <v>33.0</v>
      </c>
      <c r="B75" s="2" t="s">
        <v>94</v>
      </c>
      <c r="C75" s="2">
        <v>30.0</v>
      </c>
      <c r="D75" s="2" t="s">
        <v>14</v>
      </c>
      <c r="E75" s="2">
        <v>9920843.0</v>
      </c>
      <c r="F75" s="2" t="s">
        <v>22</v>
      </c>
      <c r="G75" s="3">
        <v>45062.0</v>
      </c>
      <c r="H75" s="2">
        <v>2023.0</v>
      </c>
      <c r="I75" s="2">
        <v>5.0</v>
      </c>
      <c r="J75" s="2">
        <v>16.0</v>
      </c>
    </row>
    <row r="76" ht="15.75" customHeight="1">
      <c r="A76" s="2">
        <v>149.0</v>
      </c>
      <c r="B76" s="2" t="s">
        <v>95</v>
      </c>
      <c r="C76" s="2">
        <v>34.0</v>
      </c>
      <c r="D76" s="2" t="s">
        <v>32</v>
      </c>
      <c r="E76" s="2">
        <v>7734185.0</v>
      </c>
      <c r="F76" s="2" t="s">
        <v>12</v>
      </c>
      <c r="G76" s="3">
        <v>45034.0</v>
      </c>
      <c r="H76" s="2">
        <v>2023.0</v>
      </c>
      <c r="I76" s="2">
        <v>4.0</v>
      </c>
      <c r="J76" s="2">
        <v>18.0</v>
      </c>
    </row>
    <row r="77" ht="15.75" customHeight="1">
      <c r="A77" s="2">
        <v>78.0</v>
      </c>
      <c r="B77" s="2" t="s">
        <v>96</v>
      </c>
      <c r="C77" s="2">
        <v>37.0</v>
      </c>
      <c r="D77" s="2" t="s">
        <v>14</v>
      </c>
      <c r="E77" s="2">
        <v>5968085.0</v>
      </c>
      <c r="F77" s="2" t="s">
        <v>12</v>
      </c>
      <c r="G77" s="3">
        <v>45226.0</v>
      </c>
      <c r="H77" s="2">
        <v>2023.0</v>
      </c>
      <c r="I77" s="2">
        <v>10.0</v>
      </c>
      <c r="J77" s="2">
        <v>27.0</v>
      </c>
    </row>
    <row r="78" ht="15.75" customHeight="1">
      <c r="A78" s="2">
        <v>16.0</v>
      </c>
      <c r="B78" s="2" t="s">
        <v>97</v>
      </c>
      <c r="C78" s="2">
        <v>58.0</v>
      </c>
      <c r="D78" s="2" t="s">
        <v>24</v>
      </c>
      <c r="E78" s="2">
        <v>1.1892944E7</v>
      </c>
      <c r="F78" s="2" t="s">
        <v>19</v>
      </c>
      <c r="G78" s="3">
        <v>45234.0</v>
      </c>
      <c r="H78" s="2">
        <v>2023.0</v>
      </c>
      <c r="I78" s="2">
        <v>11.0</v>
      </c>
      <c r="J78" s="2">
        <v>4.0</v>
      </c>
    </row>
    <row r="79" ht="15.75" customHeight="1">
      <c r="A79" s="2">
        <v>113.0</v>
      </c>
      <c r="B79" s="2" t="s">
        <v>98</v>
      </c>
      <c r="C79" s="2">
        <v>20.0</v>
      </c>
      <c r="D79" s="2" t="s">
        <v>18</v>
      </c>
      <c r="E79" s="2">
        <v>1.8308491E7</v>
      </c>
      <c r="F79" s="2" t="s">
        <v>22</v>
      </c>
      <c r="G79" s="3">
        <v>44930.0</v>
      </c>
      <c r="H79" s="2">
        <v>2023.0</v>
      </c>
      <c r="I79" s="2">
        <v>1.0</v>
      </c>
      <c r="J79" s="2">
        <v>4.0</v>
      </c>
    </row>
    <row r="80" ht="15.75" customHeight="1">
      <c r="A80" s="2">
        <v>31.0</v>
      </c>
      <c r="B80" s="2" t="s">
        <v>99</v>
      </c>
      <c r="C80" s="2">
        <v>43.0</v>
      </c>
      <c r="D80" s="2" t="s">
        <v>32</v>
      </c>
      <c r="E80" s="2">
        <v>8342007.0</v>
      </c>
      <c r="F80" s="2" t="s">
        <v>12</v>
      </c>
      <c r="G80" s="3">
        <v>45264.0</v>
      </c>
      <c r="H80" s="2">
        <v>2023.0</v>
      </c>
      <c r="I80" s="2">
        <v>12.0</v>
      </c>
      <c r="J80" s="2">
        <v>4.0</v>
      </c>
    </row>
    <row r="81" ht="15.75" customHeight="1">
      <c r="A81" s="2">
        <v>6.0</v>
      </c>
      <c r="B81" s="2" t="s">
        <v>100</v>
      </c>
      <c r="C81" s="2">
        <v>29.0</v>
      </c>
      <c r="D81" s="2" t="s">
        <v>16</v>
      </c>
      <c r="E81" s="2">
        <v>1.3934208E7</v>
      </c>
      <c r="F81" s="2" t="s">
        <v>12</v>
      </c>
      <c r="G81" s="3">
        <v>45124.0</v>
      </c>
      <c r="H81" s="2">
        <v>2023.0</v>
      </c>
      <c r="I81" s="2">
        <v>7.0</v>
      </c>
      <c r="J81" s="2">
        <v>17.0</v>
      </c>
    </row>
    <row r="82" ht="15.75" customHeight="1">
      <c r="A82" s="2">
        <v>59.0</v>
      </c>
      <c r="B82" s="2" t="s">
        <v>101</v>
      </c>
      <c r="C82" s="2">
        <v>22.0</v>
      </c>
      <c r="D82" s="2" t="s">
        <v>18</v>
      </c>
      <c r="E82" s="2">
        <v>1.0759064E7</v>
      </c>
      <c r="F82" s="2" t="s">
        <v>19</v>
      </c>
      <c r="G82" s="3">
        <v>44947.0</v>
      </c>
      <c r="H82" s="2">
        <v>2023.0</v>
      </c>
      <c r="I82" s="2">
        <v>1.0</v>
      </c>
      <c r="J82" s="2">
        <v>21.0</v>
      </c>
    </row>
    <row r="83" ht="15.75" customHeight="1">
      <c r="A83" s="2">
        <v>88.0</v>
      </c>
      <c r="B83" s="2" t="s">
        <v>102</v>
      </c>
      <c r="C83" s="2">
        <v>51.0</v>
      </c>
      <c r="D83" s="2" t="s">
        <v>21</v>
      </c>
      <c r="E83" s="2">
        <v>1.1642087E7</v>
      </c>
      <c r="F83" s="2" t="s">
        <v>12</v>
      </c>
      <c r="G83" s="3">
        <v>44935.0</v>
      </c>
      <c r="H83" s="2">
        <v>2023.0</v>
      </c>
      <c r="I83" s="2">
        <v>1.0</v>
      </c>
      <c r="J83" s="2">
        <v>9.0</v>
      </c>
    </row>
    <row r="84" ht="15.75" customHeight="1">
      <c r="A84" s="2">
        <v>96.0</v>
      </c>
      <c r="B84" s="2" t="s">
        <v>103</v>
      </c>
      <c r="C84" s="2">
        <v>58.0</v>
      </c>
      <c r="D84" s="2" t="s">
        <v>21</v>
      </c>
      <c r="E84" s="2">
        <v>1.9362393E7</v>
      </c>
      <c r="F84" s="2" t="s">
        <v>12</v>
      </c>
      <c r="G84" s="3">
        <v>45121.0</v>
      </c>
      <c r="H84" s="2">
        <v>2023.0</v>
      </c>
      <c r="I84" s="2">
        <v>7.0</v>
      </c>
      <c r="J84" s="2">
        <v>14.0</v>
      </c>
    </row>
    <row r="85" ht="15.75" customHeight="1">
      <c r="A85" s="2">
        <v>116.0</v>
      </c>
      <c r="B85" s="2" t="s">
        <v>104</v>
      </c>
      <c r="C85" s="2">
        <v>28.0</v>
      </c>
      <c r="D85" s="2" t="s">
        <v>16</v>
      </c>
      <c r="E85" s="2">
        <v>1.7826375E7</v>
      </c>
      <c r="F85" s="2" t="s">
        <v>19</v>
      </c>
      <c r="G85" s="3">
        <v>45219.0</v>
      </c>
      <c r="H85" s="2">
        <v>2023.0</v>
      </c>
      <c r="I85" s="2">
        <v>10.0</v>
      </c>
      <c r="J85" s="2">
        <v>20.0</v>
      </c>
    </row>
    <row r="86" ht="15.75" customHeight="1">
      <c r="A86" s="2">
        <v>11.0</v>
      </c>
      <c r="B86" s="2" t="s">
        <v>105</v>
      </c>
      <c r="C86" s="2">
        <v>50.0</v>
      </c>
      <c r="D86" s="2" t="s">
        <v>32</v>
      </c>
      <c r="E86" s="2">
        <v>6557817.0</v>
      </c>
      <c r="F86" s="2" t="s">
        <v>22</v>
      </c>
      <c r="G86" s="3">
        <v>45012.0</v>
      </c>
      <c r="H86" s="2">
        <v>2023.0</v>
      </c>
      <c r="I86" s="2">
        <v>3.0</v>
      </c>
      <c r="J86" s="2">
        <v>27.0</v>
      </c>
    </row>
    <row r="87" ht="15.75" customHeight="1">
      <c r="A87" s="2">
        <v>132.0</v>
      </c>
      <c r="B87" s="2" t="s">
        <v>106</v>
      </c>
      <c r="C87" s="2">
        <v>19.0</v>
      </c>
      <c r="D87" s="2" t="s">
        <v>14</v>
      </c>
      <c r="E87" s="2">
        <v>7608920.0</v>
      </c>
      <c r="F87" s="2" t="s">
        <v>12</v>
      </c>
      <c r="G87" s="3">
        <v>45269.0</v>
      </c>
      <c r="H87" s="2">
        <v>2023.0</v>
      </c>
      <c r="I87" s="2">
        <v>12.0</v>
      </c>
      <c r="J87" s="2">
        <v>9.0</v>
      </c>
    </row>
    <row r="88" ht="15.75" customHeight="1">
      <c r="A88" s="2">
        <v>80.0</v>
      </c>
      <c r="B88" s="2" t="s">
        <v>107</v>
      </c>
      <c r="C88" s="2">
        <v>41.0</v>
      </c>
      <c r="D88" s="2" t="s">
        <v>32</v>
      </c>
      <c r="E88" s="2">
        <v>5344402.0</v>
      </c>
      <c r="F88" s="2" t="s">
        <v>19</v>
      </c>
      <c r="G88" s="3">
        <v>45092.0</v>
      </c>
      <c r="H88" s="2">
        <v>2023.0</v>
      </c>
      <c r="I88" s="2">
        <v>6.0</v>
      </c>
      <c r="J88" s="2">
        <v>15.0</v>
      </c>
    </row>
    <row r="89" ht="15.75" customHeight="1">
      <c r="A89" s="2">
        <v>65.0</v>
      </c>
      <c r="B89" s="2" t="s">
        <v>108</v>
      </c>
      <c r="C89" s="2">
        <v>57.0</v>
      </c>
      <c r="D89" s="2" t="s">
        <v>14</v>
      </c>
      <c r="E89" s="2">
        <v>1.6360831E7</v>
      </c>
      <c r="F89" s="2" t="s">
        <v>12</v>
      </c>
      <c r="G89" s="3">
        <v>44970.0</v>
      </c>
      <c r="H89" s="2">
        <v>2023.0</v>
      </c>
      <c r="I89" s="2">
        <v>2.0</v>
      </c>
      <c r="J89" s="2">
        <v>13.0</v>
      </c>
    </row>
    <row r="90" ht="15.75" customHeight="1">
      <c r="A90" s="2">
        <v>26.0</v>
      </c>
      <c r="B90" s="2" t="s">
        <v>109</v>
      </c>
      <c r="C90" s="2">
        <v>33.0</v>
      </c>
      <c r="D90" s="2" t="s">
        <v>24</v>
      </c>
      <c r="E90" s="2">
        <v>9665097.0</v>
      </c>
      <c r="F90" s="2" t="s">
        <v>22</v>
      </c>
      <c r="G90" s="3">
        <v>45286.0</v>
      </c>
      <c r="H90" s="2">
        <v>2023.0</v>
      </c>
      <c r="I90" s="2">
        <v>12.0</v>
      </c>
      <c r="J90" s="2">
        <v>26.0</v>
      </c>
    </row>
    <row r="91" ht="15.75" customHeight="1">
      <c r="A91" s="2">
        <v>140.0</v>
      </c>
      <c r="B91" s="2" t="s">
        <v>110</v>
      </c>
      <c r="C91" s="2">
        <v>20.0</v>
      </c>
      <c r="D91" s="2" t="s">
        <v>11</v>
      </c>
      <c r="E91" s="2">
        <v>1.7712644E7</v>
      </c>
      <c r="F91" s="2" t="s">
        <v>19</v>
      </c>
      <c r="G91" s="3">
        <v>45230.0</v>
      </c>
      <c r="H91" s="2">
        <v>2023.0</v>
      </c>
      <c r="I91" s="2">
        <v>10.0</v>
      </c>
      <c r="J91" s="2">
        <v>31.0</v>
      </c>
    </row>
    <row r="92" ht="15.75" customHeight="1">
      <c r="A92" s="2">
        <v>130.0</v>
      </c>
      <c r="B92" s="2" t="s">
        <v>111</v>
      </c>
      <c r="C92" s="2">
        <v>29.0</v>
      </c>
      <c r="D92" s="2" t="s">
        <v>18</v>
      </c>
      <c r="E92" s="2">
        <v>1.2810374E7</v>
      </c>
      <c r="F92" s="2" t="s">
        <v>12</v>
      </c>
      <c r="G92" s="3">
        <v>45008.0</v>
      </c>
      <c r="H92" s="2">
        <v>2023.0</v>
      </c>
      <c r="I92" s="2">
        <v>3.0</v>
      </c>
      <c r="J92" s="2">
        <v>23.0</v>
      </c>
    </row>
    <row r="93" ht="15.75" customHeight="1">
      <c r="A93" s="2">
        <v>142.0</v>
      </c>
      <c r="B93" s="2" t="s">
        <v>112</v>
      </c>
      <c r="C93" s="2">
        <v>30.0</v>
      </c>
      <c r="D93" s="2" t="s">
        <v>24</v>
      </c>
      <c r="E93" s="2">
        <v>1.5296892E7</v>
      </c>
      <c r="F93" s="2" t="s">
        <v>19</v>
      </c>
      <c r="G93" s="3">
        <v>45162.0</v>
      </c>
      <c r="H93" s="2">
        <v>2023.0</v>
      </c>
      <c r="I93" s="2">
        <v>8.0</v>
      </c>
      <c r="J93" s="2">
        <v>24.0</v>
      </c>
    </row>
    <row r="94" ht="15.75" customHeight="1">
      <c r="A94" s="2">
        <v>27.0</v>
      </c>
      <c r="B94" s="2" t="s">
        <v>113</v>
      </c>
      <c r="C94" s="2">
        <v>21.0</v>
      </c>
      <c r="D94" s="2" t="s">
        <v>21</v>
      </c>
      <c r="E94" s="2">
        <v>3459770.0</v>
      </c>
      <c r="F94" s="2" t="s">
        <v>22</v>
      </c>
      <c r="G94" s="3">
        <v>45127.0</v>
      </c>
      <c r="H94" s="2">
        <v>2023.0</v>
      </c>
      <c r="I94" s="2">
        <v>7.0</v>
      </c>
      <c r="J94" s="2">
        <v>20.0</v>
      </c>
    </row>
    <row r="95" ht="15.75" customHeight="1">
      <c r="A95" s="2">
        <v>15.0</v>
      </c>
      <c r="B95" s="2" t="s">
        <v>114</v>
      </c>
      <c r="C95" s="2">
        <v>54.0</v>
      </c>
      <c r="D95" s="2" t="s">
        <v>16</v>
      </c>
      <c r="E95" s="2">
        <v>2.0E7</v>
      </c>
      <c r="F95" s="2" t="s">
        <v>19</v>
      </c>
      <c r="G95" s="3">
        <v>45212.0</v>
      </c>
      <c r="H95" s="2">
        <v>2023.0</v>
      </c>
      <c r="I95" s="2">
        <v>10.0</v>
      </c>
      <c r="J95" s="2">
        <v>13.0</v>
      </c>
    </row>
    <row r="96" ht="15.75" customHeight="1">
      <c r="A96" s="2">
        <v>90.0</v>
      </c>
      <c r="B96" s="2" t="s">
        <v>115</v>
      </c>
      <c r="C96" s="2">
        <v>50.0</v>
      </c>
      <c r="D96" s="2" t="s">
        <v>14</v>
      </c>
      <c r="E96" s="2">
        <v>7709702.0</v>
      </c>
      <c r="F96" s="2" t="s">
        <v>19</v>
      </c>
      <c r="G96" s="3">
        <v>45234.0</v>
      </c>
      <c r="H96" s="2">
        <v>2023.0</v>
      </c>
      <c r="I96" s="2">
        <v>11.0</v>
      </c>
      <c r="J96" s="2">
        <v>4.0</v>
      </c>
    </row>
    <row r="97" ht="15.75" customHeight="1">
      <c r="A97" s="2">
        <v>137.0</v>
      </c>
      <c r="B97" s="2" t="s">
        <v>116</v>
      </c>
      <c r="C97" s="2">
        <v>22.0</v>
      </c>
      <c r="D97" s="2" t="s">
        <v>24</v>
      </c>
      <c r="E97" s="2">
        <v>1.2408194E7</v>
      </c>
      <c r="F97" s="2" t="s">
        <v>12</v>
      </c>
      <c r="G97" s="3">
        <v>44964.0</v>
      </c>
      <c r="H97" s="2">
        <v>2023.0</v>
      </c>
      <c r="I97" s="2">
        <v>2.0</v>
      </c>
      <c r="J97" s="2">
        <v>7.0</v>
      </c>
    </row>
    <row r="98" ht="15.75" customHeight="1">
      <c r="A98" s="2">
        <v>111.0</v>
      </c>
      <c r="B98" s="2" t="s">
        <v>117</v>
      </c>
      <c r="C98" s="2">
        <v>51.0</v>
      </c>
      <c r="D98" s="2" t="s">
        <v>16</v>
      </c>
      <c r="E98" s="2">
        <v>1.6991685E7</v>
      </c>
      <c r="F98" s="2" t="s">
        <v>12</v>
      </c>
      <c r="G98" s="3">
        <v>45200.0</v>
      </c>
      <c r="H98" s="2">
        <v>2023.0</v>
      </c>
      <c r="I98" s="2">
        <v>10.0</v>
      </c>
      <c r="J98" s="2">
        <v>1.0</v>
      </c>
    </row>
    <row r="99" ht="15.75" customHeight="1">
      <c r="A99" s="2">
        <v>23.0</v>
      </c>
      <c r="B99" s="2" t="s">
        <v>118</v>
      </c>
      <c r="C99" s="2">
        <v>36.0</v>
      </c>
      <c r="D99" s="2" t="s">
        <v>14</v>
      </c>
      <c r="E99" s="2">
        <v>5437962.0</v>
      </c>
      <c r="F99" s="2" t="s">
        <v>22</v>
      </c>
      <c r="G99" s="3">
        <v>45106.0</v>
      </c>
      <c r="H99" s="2">
        <v>2023.0</v>
      </c>
      <c r="I99" s="2">
        <v>6.0</v>
      </c>
      <c r="J99" s="2">
        <v>29.0</v>
      </c>
    </row>
    <row r="100" ht="15.75" customHeight="1">
      <c r="A100" s="2">
        <v>4.0</v>
      </c>
      <c r="B100" s="2" t="s">
        <v>119</v>
      </c>
      <c r="C100" s="2">
        <v>49.0</v>
      </c>
      <c r="D100" s="2" t="s">
        <v>18</v>
      </c>
      <c r="E100" s="2">
        <v>1.9426187E7</v>
      </c>
      <c r="F100" s="2" t="s">
        <v>12</v>
      </c>
      <c r="G100" s="3">
        <v>44974.0</v>
      </c>
      <c r="H100" s="2">
        <v>2023.0</v>
      </c>
      <c r="I100" s="2">
        <v>2.0</v>
      </c>
      <c r="J100" s="2">
        <v>17.0</v>
      </c>
    </row>
    <row r="101" ht="15.75" customHeight="1">
      <c r="A101" s="2">
        <v>121.0</v>
      </c>
      <c r="B101" s="2" t="s">
        <v>120</v>
      </c>
      <c r="C101" s="2">
        <v>48.0</v>
      </c>
      <c r="D101" s="2" t="s">
        <v>14</v>
      </c>
      <c r="E101" s="2">
        <v>1.3196181E7</v>
      </c>
      <c r="F101" s="2" t="s">
        <v>19</v>
      </c>
      <c r="G101" s="3">
        <v>45144.0</v>
      </c>
      <c r="H101" s="2">
        <v>2023.0</v>
      </c>
      <c r="I101" s="2">
        <v>8.0</v>
      </c>
      <c r="J101" s="2">
        <v>6.0</v>
      </c>
    </row>
    <row r="102" ht="15.75" customHeight="1">
      <c r="A102" s="2">
        <v>94.0</v>
      </c>
      <c r="B102" s="2" t="s">
        <v>121</v>
      </c>
      <c r="C102" s="2">
        <v>40.0</v>
      </c>
      <c r="D102" s="2" t="s">
        <v>26</v>
      </c>
      <c r="E102" s="2">
        <v>1.7592168E7</v>
      </c>
      <c r="F102" s="2" t="s">
        <v>19</v>
      </c>
      <c r="G102" s="3">
        <v>45266.0</v>
      </c>
      <c r="H102" s="2">
        <v>2023.0</v>
      </c>
      <c r="I102" s="2">
        <v>12.0</v>
      </c>
      <c r="J102" s="2">
        <v>6.0</v>
      </c>
    </row>
    <row r="103" ht="15.75" customHeight="1">
      <c r="A103" s="2">
        <v>107.0</v>
      </c>
      <c r="B103" s="2" t="s">
        <v>122</v>
      </c>
      <c r="C103" s="2">
        <v>52.0</v>
      </c>
      <c r="D103" s="2" t="s">
        <v>24</v>
      </c>
      <c r="E103" s="2">
        <v>1.8206488E7</v>
      </c>
      <c r="F103" s="2" t="s">
        <v>19</v>
      </c>
      <c r="G103" s="3">
        <v>45077.0</v>
      </c>
      <c r="H103" s="2">
        <v>2023.0</v>
      </c>
      <c r="I103" s="2">
        <v>5.0</v>
      </c>
      <c r="J103" s="2">
        <v>31.0</v>
      </c>
    </row>
    <row r="104" ht="15.75" customHeight="1">
      <c r="A104" s="2">
        <v>144.0</v>
      </c>
      <c r="B104" s="2" t="s">
        <v>123</v>
      </c>
      <c r="C104" s="2">
        <v>18.0</v>
      </c>
      <c r="D104" s="2" t="s">
        <v>11</v>
      </c>
      <c r="E104" s="2">
        <v>3608061.0</v>
      </c>
      <c r="F104" s="2" t="s">
        <v>12</v>
      </c>
      <c r="G104" s="3">
        <v>44935.0</v>
      </c>
      <c r="H104" s="2">
        <v>2023.0</v>
      </c>
      <c r="I104" s="2">
        <v>1.0</v>
      </c>
      <c r="J104" s="2">
        <v>9.0</v>
      </c>
    </row>
    <row r="105" ht="15.75" customHeight="1">
      <c r="A105" s="2">
        <v>34.0</v>
      </c>
      <c r="B105" s="2" t="s">
        <v>124</v>
      </c>
      <c r="C105" s="2">
        <v>22.0</v>
      </c>
      <c r="D105" s="2" t="s">
        <v>26</v>
      </c>
      <c r="E105" s="2">
        <v>3787554.0</v>
      </c>
      <c r="F105" s="2" t="s">
        <v>19</v>
      </c>
      <c r="G105" s="3">
        <v>45230.0</v>
      </c>
      <c r="H105" s="2">
        <v>2023.0</v>
      </c>
      <c r="I105" s="2">
        <v>10.0</v>
      </c>
      <c r="J105" s="2">
        <v>31.0</v>
      </c>
    </row>
    <row r="106" ht="15.75" customHeight="1">
      <c r="A106" s="2">
        <v>93.0</v>
      </c>
      <c r="B106" s="2" t="s">
        <v>125</v>
      </c>
      <c r="C106" s="2">
        <v>37.0</v>
      </c>
      <c r="D106" s="2" t="s">
        <v>21</v>
      </c>
      <c r="E106" s="2">
        <v>8292937.0</v>
      </c>
      <c r="F106" s="2" t="s">
        <v>12</v>
      </c>
      <c r="G106" s="3">
        <v>44983.0</v>
      </c>
      <c r="H106" s="2">
        <v>2023.0</v>
      </c>
      <c r="I106" s="2">
        <v>2.0</v>
      </c>
      <c r="J106" s="2">
        <v>26.0</v>
      </c>
    </row>
    <row r="107" ht="15.75" customHeight="1">
      <c r="A107" s="2">
        <v>43.0</v>
      </c>
      <c r="B107" s="2" t="s">
        <v>126</v>
      </c>
      <c r="C107" s="2">
        <v>24.0</v>
      </c>
      <c r="D107" s="2" t="s">
        <v>11</v>
      </c>
      <c r="E107" s="2">
        <v>6863134.0</v>
      </c>
      <c r="F107" s="2" t="s">
        <v>12</v>
      </c>
      <c r="G107" s="3">
        <v>45107.0</v>
      </c>
      <c r="H107" s="2">
        <v>2023.0</v>
      </c>
      <c r="I107" s="2">
        <v>6.0</v>
      </c>
      <c r="J107" s="2">
        <v>30.0</v>
      </c>
    </row>
    <row r="108" ht="15.75" customHeight="1">
      <c r="A108" s="2">
        <v>50.0</v>
      </c>
      <c r="B108" s="2" t="s">
        <v>127</v>
      </c>
      <c r="C108" s="2">
        <v>33.0</v>
      </c>
      <c r="D108" s="2" t="s">
        <v>21</v>
      </c>
      <c r="E108" s="2">
        <v>1.6826711E7</v>
      </c>
      <c r="F108" s="2" t="s">
        <v>19</v>
      </c>
      <c r="G108" s="3">
        <v>44974.0</v>
      </c>
      <c r="H108" s="2">
        <v>2023.0</v>
      </c>
      <c r="I108" s="2">
        <v>2.0</v>
      </c>
      <c r="J108" s="2">
        <v>17.0</v>
      </c>
    </row>
    <row r="109" ht="15.75" customHeight="1">
      <c r="A109" s="2">
        <v>21.0</v>
      </c>
      <c r="B109" s="2" t="s">
        <v>128</v>
      </c>
      <c r="C109" s="2">
        <v>56.0</v>
      </c>
      <c r="D109" s="2" t="s">
        <v>14</v>
      </c>
      <c r="E109" s="2">
        <v>4345778.0</v>
      </c>
      <c r="F109" s="2" t="s">
        <v>12</v>
      </c>
      <c r="G109" s="3">
        <v>45265.0</v>
      </c>
      <c r="H109" s="2">
        <v>2023.0</v>
      </c>
      <c r="I109" s="2">
        <v>12.0</v>
      </c>
      <c r="J109" s="2">
        <v>5.0</v>
      </c>
    </row>
    <row r="110" ht="15.75" customHeight="1">
      <c r="A110" s="2">
        <v>46.0</v>
      </c>
      <c r="B110" s="2" t="s">
        <v>129</v>
      </c>
      <c r="C110" s="2">
        <v>35.0</v>
      </c>
      <c r="D110" s="2" t="s">
        <v>26</v>
      </c>
      <c r="E110" s="2">
        <v>1.3609354E7</v>
      </c>
      <c r="F110" s="2" t="s">
        <v>12</v>
      </c>
      <c r="G110" s="3">
        <v>45168.0</v>
      </c>
      <c r="H110" s="2">
        <v>2023.0</v>
      </c>
      <c r="I110" s="2">
        <v>8.0</v>
      </c>
      <c r="J110" s="2">
        <v>30.0</v>
      </c>
    </row>
    <row r="111" ht="15.75" customHeight="1">
      <c r="A111" s="2">
        <v>120.0</v>
      </c>
      <c r="B111" s="2" t="s">
        <v>130</v>
      </c>
      <c r="C111" s="2">
        <v>48.0</v>
      </c>
      <c r="D111" s="2" t="s">
        <v>26</v>
      </c>
      <c r="E111" s="2">
        <v>4880950.0</v>
      </c>
      <c r="F111" s="2" t="s">
        <v>12</v>
      </c>
      <c r="G111" s="3">
        <v>45265.0</v>
      </c>
      <c r="H111" s="2">
        <v>2023.0</v>
      </c>
      <c r="I111" s="2">
        <v>12.0</v>
      </c>
      <c r="J111" s="2">
        <v>5.0</v>
      </c>
    </row>
    <row r="112" ht="15.75" customHeight="1">
      <c r="A112" s="2">
        <v>5.0</v>
      </c>
      <c r="B112" s="2" t="s">
        <v>131</v>
      </c>
      <c r="C112" s="2">
        <v>49.0</v>
      </c>
      <c r="D112" s="2" t="s">
        <v>14</v>
      </c>
      <c r="E112" s="2">
        <v>1.3180447E7</v>
      </c>
      <c r="F112" s="2" t="s">
        <v>19</v>
      </c>
      <c r="G112" s="3">
        <v>44957.0</v>
      </c>
      <c r="H112" s="2">
        <v>2023.0</v>
      </c>
      <c r="I112" s="2">
        <v>1.0</v>
      </c>
      <c r="J112" s="2">
        <v>31.0</v>
      </c>
    </row>
    <row r="113" ht="15.75" customHeight="1">
      <c r="A113" s="2">
        <v>105.0</v>
      </c>
      <c r="B113" s="2" t="s">
        <v>132</v>
      </c>
      <c r="C113" s="2">
        <v>32.0</v>
      </c>
      <c r="D113" s="2" t="s">
        <v>24</v>
      </c>
      <c r="E113" s="2">
        <v>8504179.0</v>
      </c>
      <c r="F113" s="2" t="s">
        <v>12</v>
      </c>
      <c r="G113" s="3">
        <v>45277.0</v>
      </c>
      <c r="H113" s="2">
        <v>2023.0</v>
      </c>
      <c r="I113" s="2">
        <v>12.0</v>
      </c>
      <c r="J113" s="2">
        <v>17.0</v>
      </c>
    </row>
    <row r="114" ht="15.75" customHeight="1">
      <c r="A114" s="2">
        <v>106.0</v>
      </c>
      <c r="B114" s="2" t="s">
        <v>133</v>
      </c>
      <c r="C114" s="2">
        <v>39.0</v>
      </c>
      <c r="D114" s="2" t="s">
        <v>24</v>
      </c>
      <c r="E114" s="2">
        <v>1.4324301E7</v>
      </c>
      <c r="F114" s="2" t="s">
        <v>12</v>
      </c>
      <c r="G114" s="3">
        <v>44933.0</v>
      </c>
      <c r="H114" s="2">
        <v>2023.0</v>
      </c>
      <c r="I114" s="2">
        <v>1.0</v>
      </c>
      <c r="J114" s="2">
        <v>7.0</v>
      </c>
    </row>
    <row r="115" ht="15.75" customHeight="1">
      <c r="A115" s="2">
        <v>145.0</v>
      </c>
      <c r="B115" s="2" t="s">
        <v>134</v>
      </c>
      <c r="C115" s="2">
        <v>53.0</v>
      </c>
      <c r="D115" s="2" t="s">
        <v>21</v>
      </c>
      <c r="E115" s="2">
        <v>4543805.0</v>
      </c>
      <c r="F115" s="2" t="s">
        <v>12</v>
      </c>
      <c r="G115" s="3">
        <v>45272.0</v>
      </c>
      <c r="H115" s="2">
        <v>2023.0</v>
      </c>
      <c r="I115" s="2">
        <v>12.0</v>
      </c>
      <c r="J115" s="2">
        <v>12.0</v>
      </c>
    </row>
    <row r="116" ht="15.75" customHeight="1">
      <c r="A116" s="2">
        <v>32.0</v>
      </c>
      <c r="B116" s="2" t="s">
        <v>135</v>
      </c>
      <c r="C116" s="2">
        <v>55.0</v>
      </c>
      <c r="D116" s="2" t="s">
        <v>14</v>
      </c>
      <c r="E116" s="2">
        <v>1.3042747E7</v>
      </c>
      <c r="F116" s="2" t="s">
        <v>12</v>
      </c>
      <c r="G116" s="3">
        <v>45079.0</v>
      </c>
      <c r="H116" s="2">
        <v>2023.0</v>
      </c>
      <c r="I116" s="2">
        <v>6.0</v>
      </c>
      <c r="J116" s="2">
        <v>2.0</v>
      </c>
    </row>
    <row r="117" ht="15.75" customHeight="1">
      <c r="A117" s="2">
        <v>126.0</v>
      </c>
      <c r="B117" s="2" t="s">
        <v>136</v>
      </c>
      <c r="C117" s="2">
        <v>21.0</v>
      </c>
      <c r="D117" s="2" t="s">
        <v>14</v>
      </c>
      <c r="E117" s="2">
        <v>1.2767781E7</v>
      </c>
      <c r="F117" s="2" t="s">
        <v>22</v>
      </c>
      <c r="G117" s="3">
        <v>45031.0</v>
      </c>
      <c r="H117" s="2">
        <v>2023.0</v>
      </c>
      <c r="I117" s="2">
        <v>4.0</v>
      </c>
      <c r="J117" s="2">
        <v>15.0</v>
      </c>
    </row>
    <row r="118" ht="15.75" customHeight="1">
      <c r="A118" s="2">
        <v>102.0</v>
      </c>
      <c r="B118" s="2" t="s">
        <v>137</v>
      </c>
      <c r="C118" s="2">
        <v>33.0</v>
      </c>
      <c r="D118" s="2" t="s">
        <v>21</v>
      </c>
      <c r="E118" s="2">
        <v>1.6172839E7</v>
      </c>
      <c r="F118" s="2" t="s">
        <v>19</v>
      </c>
      <c r="G118" s="3">
        <v>45270.0</v>
      </c>
      <c r="H118" s="2">
        <v>2023.0</v>
      </c>
      <c r="I118" s="2">
        <v>12.0</v>
      </c>
      <c r="J118" s="2">
        <v>10.0</v>
      </c>
    </row>
    <row r="119" ht="15.75" customHeight="1">
      <c r="A119" s="2">
        <v>14.0</v>
      </c>
      <c r="B119" s="2" t="s">
        <v>138</v>
      </c>
      <c r="C119" s="2">
        <v>22.0</v>
      </c>
      <c r="D119" s="2" t="s">
        <v>14</v>
      </c>
      <c r="E119" s="2">
        <v>9220515.0</v>
      </c>
      <c r="F119" s="2" t="s">
        <v>19</v>
      </c>
      <c r="G119" s="3">
        <v>45178.0</v>
      </c>
      <c r="H119" s="2">
        <v>2023.0</v>
      </c>
      <c r="I119" s="2">
        <v>9.0</v>
      </c>
      <c r="J119" s="2">
        <v>9.0</v>
      </c>
    </row>
    <row r="120" ht="15.75" customHeight="1">
      <c r="A120" s="2">
        <v>7.0</v>
      </c>
      <c r="B120" s="2" t="s">
        <v>139</v>
      </c>
      <c r="C120" s="2">
        <v>55.0</v>
      </c>
      <c r="D120" s="2" t="s">
        <v>24</v>
      </c>
      <c r="E120" s="2">
        <v>5257395.0</v>
      </c>
      <c r="F120" s="2" t="s">
        <v>12</v>
      </c>
      <c r="G120" s="3">
        <v>45175.0</v>
      </c>
      <c r="H120" s="2">
        <v>2023.0</v>
      </c>
      <c r="I120" s="2">
        <v>9.0</v>
      </c>
      <c r="J120" s="2">
        <v>6.0</v>
      </c>
    </row>
    <row r="121" ht="15.75" customHeight="1">
      <c r="A121" s="2">
        <v>125.0</v>
      </c>
      <c r="B121" s="2" t="s">
        <v>140</v>
      </c>
      <c r="C121" s="2">
        <v>31.0</v>
      </c>
      <c r="D121" s="2" t="s">
        <v>32</v>
      </c>
      <c r="E121" s="2">
        <v>7420845.0</v>
      </c>
      <c r="F121" s="2" t="s">
        <v>22</v>
      </c>
      <c r="G121" s="3">
        <v>45157.0</v>
      </c>
      <c r="H121" s="2">
        <v>2023.0</v>
      </c>
      <c r="I121" s="2">
        <v>8.0</v>
      </c>
      <c r="J121" s="2">
        <v>19.0</v>
      </c>
    </row>
    <row r="122" ht="15.75" customHeight="1">
      <c r="A122" s="2">
        <v>147.0</v>
      </c>
      <c r="B122" s="2" t="s">
        <v>141</v>
      </c>
      <c r="C122" s="2">
        <v>27.0</v>
      </c>
      <c r="D122" s="2" t="s">
        <v>14</v>
      </c>
      <c r="E122" s="2">
        <v>7691923.0</v>
      </c>
      <c r="F122" s="2" t="s">
        <v>12</v>
      </c>
      <c r="G122" s="3">
        <v>45260.0</v>
      </c>
      <c r="H122" s="2">
        <v>2023.0</v>
      </c>
      <c r="I122" s="2">
        <v>11.0</v>
      </c>
      <c r="J122" s="2">
        <v>30.0</v>
      </c>
    </row>
    <row r="123" ht="15.75" customHeight="1">
      <c r="A123" s="2">
        <v>75.0</v>
      </c>
      <c r="B123" s="2" t="s">
        <v>142</v>
      </c>
      <c r="C123" s="2">
        <v>52.0</v>
      </c>
      <c r="D123" s="2" t="s">
        <v>16</v>
      </c>
      <c r="E123" s="2">
        <v>1.6622463E7</v>
      </c>
      <c r="F123" s="2" t="s">
        <v>12</v>
      </c>
      <c r="G123" s="3">
        <v>45066.0</v>
      </c>
      <c r="H123" s="2">
        <v>2023.0</v>
      </c>
      <c r="I123" s="2">
        <v>5.0</v>
      </c>
      <c r="J123" s="2">
        <v>20.0</v>
      </c>
    </row>
    <row r="124" ht="15.75" customHeight="1">
      <c r="A124" s="2">
        <v>9.0</v>
      </c>
      <c r="B124" s="2" t="s">
        <v>143</v>
      </c>
      <c r="C124" s="2">
        <v>22.0</v>
      </c>
      <c r="D124" s="2" t="s">
        <v>32</v>
      </c>
      <c r="E124" s="2">
        <v>7207630.0</v>
      </c>
      <c r="F124" s="2" t="s">
        <v>19</v>
      </c>
      <c r="G124" s="3">
        <v>45137.0</v>
      </c>
      <c r="H124" s="2">
        <v>2023.0</v>
      </c>
      <c r="I124" s="2">
        <v>7.0</v>
      </c>
      <c r="J124" s="2">
        <v>30.0</v>
      </c>
    </row>
    <row r="125" ht="15.75" customHeight="1">
      <c r="A125" s="2">
        <v>128.0</v>
      </c>
      <c r="B125" s="2" t="s">
        <v>144</v>
      </c>
      <c r="C125" s="2">
        <v>24.0</v>
      </c>
      <c r="D125" s="2" t="s">
        <v>18</v>
      </c>
      <c r="E125" s="2">
        <v>1.7702673E7</v>
      </c>
      <c r="F125" s="2" t="s">
        <v>22</v>
      </c>
      <c r="G125" s="3">
        <v>45231.0</v>
      </c>
      <c r="H125" s="2">
        <v>2023.0</v>
      </c>
      <c r="I125" s="2">
        <v>11.0</v>
      </c>
      <c r="J125" s="2">
        <v>1.0</v>
      </c>
    </row>
    <row r="126" ht="15.75" customHeight="1">
      <c r="A126" s="2">
        <v>37.0</v>
      </c>
      <c r="B126" s="2" t="s">
        <v>145</v>
      </c>
      <c r="C126" s="2">
        <v>59.0</v>
      </c>
      <c r="D126" s="2" t="s">
        <v>14</v>
      </c>
      <c r="E126" s="2">
        <v>2.0E7</v>
      </c>
      <c r="F126" s="2" t="s">
        <v>12</v>
      </c>
      <c r="G126" s="3">
        <v>45276.0</v>
      </c>
      <c r="H126" s="2">
        <v>2023.0</v>
      </c>
      <c r="I126" s="2">
        <v>12.0</v>
      </c>
      <c r="J126" s="2">
        <v>16.0</v>
      </c>
    </row>
    <row r="127" ht="15.75" customHeight="1">
      <c r="A127" s="2">
        <v>117.0</v>
      </c>
      <c r="B127" s="2" t="s">
        <v>146</v>
      </c>
      <c r="C127" s="2">
        <v>47.0</v>
      </c>
      <c r="D127" s="2" t="s">
        <v>21</v>
      </c>
      <c r="E127" s="2">
        <v>1.0959032E7</v>
      </c>
      <c r="F127" s="2" t="s">
        <v>19</v>
      </c>
      <c r="G127" s="3">
        <v>45074.0</v>
      </c>
      <c r="H127" s="2">
        <v>2023.0</v>
      </c>
      <c r="I127" s="2">
        <v>5.0</v>
      </c>
      <c r="J127" s="2">
        <v>28.0</v>
      </c>
    </row>
    <row r="128" ht="15.75" customHeight="1">
      <c r="A128" s="2">
        <v>36.0</v>
      </c>
      <c r="B128" s="2" t="s">
        <v>147</v>
      </c>
      <c r="C128" s="2">
        <v>37.0</v>
      </c>
      <c r="D128" s="2" t="s">
        <v>24</v>
      </c>
      <c r="E128" s="2">
        <v>3638609.0</v>
      </c>
      <c r="F128" s="2" t="s">
        <v>12</v>
      </c>
      <c r="G128" s="3">
        <v>45018.0</v>
      </c>
      <c r="H128" s="2">
        <v>2023.0</v>
      </c>
      <c r="I128" s="2">
        <v>4.0</v>
      </c>
      <c r="J128" s="2">
        <v>2.0</v>
      </c>
    </row>
    <row r="129" ht="15.75" customHeight="1">
      <c r="A129" s="2">
        <v>56.0</v>
      </c>
      <c r="B129" s="2" t="s">
        <v>148</v>
      </c>
      <c r="C129" s="2">
        <v>32.0</v>
      </c>
      <c r="D129" s="2" t="s">
        <v>21</v>
      </c>
      <c r="E129" s="2">
        <v>7718810.0</v>
      </c>
      <c r="F129" s="2" t="s">
        <v>19</v>
      </c>
      <c r="G129" s="3">
        <v>45082.0</v>
      </c>
      <c r="H129" s="2">
        <v>2023.0</v>
      </c>
      <c r="I129" s="2">
        <v>6.0</v>
      </c>
      <c r="J129" s="2">
        <v>5.0</v>
      </c>
    </row>
    <row r="130" ht="15.75" customHeight="1">
      <c r="A130" s="2">
        <v>58.0</v>
      </c>
      <c r="B130" s="2" t="s">
        <v>149</v>
      </c>
      <c r="C130" s="2">
        <v>29.0</v>
      </c>
      <c r="D130" s="2" t="s">
        <v>32</v>
      </c>
      <c r="E130" s="2">
        <v>1.1537191E7</v>
      </c>
      <c r="F130" s="2" t="s">
        <v>19</v>
      </c>
      <c r="G130" s="3">
        <v>44977.0</v>
      </c>
      <c r="H130" s="2">
        <v>2023.0</v>
      </c>
      <c r="I130" s="2">
        <v>2.0</v>
      </c>
      <c r="J130" s="2">
        <v>20.0</v>
      </c>
    </row>
    <row r="131" ht="15.75" customHeight="1">
      <c r="A131" s="2">
        <v>115.0</v>
      </c>
      <c r="B131" s="2" t="s">
        <v>150</v>
      </c>
      <c r="C131" s="2">
        <v>40.0</v>
      </c>
      <c r="D131" s="2" t="s">
        <v>32</v>
      </c>
      <c r="E131" s="2">
        <v>6656354.0</v>
      </c>
      <c r="F131" s="2" t="s">
        <v>12</v>
      </c>
      <c r="G131" s="3">
        <v>45133.0</v>
      </c>
      <c r="H131" s="2">
        <v>2023.0</v>
      </c>
      <c r="I131" s="2">
        <v>7.0</v>
      </c>
      <c r="J131" s="2">
        <v>26.0</v>
      </c>
    </row>
    <row r="132" ht="15.75" customHeight="1">
      <c r="A132" s="2">
        <v>79.0</v>
      </c>
      <c r="B132" s="2" t="s">
        <v>151</v>
      </c>
      <c r="C132" s="2">
        <v>25.0</v>
      </c>
      <c r="D132" s="2" t="s">
        <v>11</v>
      </c>
      <c r="E132" s="2">
        <v>8161584.0</v>
      </c>
      <c r="F132" s="2" t="s">
        <v>19</v>
      </c>
      <c r="G132" s="3">
        <v>45032.0</v>
      </c>
      <c r="H132" s="2">
        <v>2023.0</v>
      </c>
      <c r="I132" s="2">
        <v>4.0</v>
      </c>
      <c r="J132" s="2">
        <v>16.0</v>
      </c>
    </row>
    <row r="133" ht="15.75" customHeight="1">
      <c r="A133" s="2">
        <v>82.0</v>
      </c>
      <c r="B133" s="2" t="s">
        <v>152</v>
      </c>
      <c r="C133" s="2">
        <v>50.0</v>
      </c>
      <c r="D133" s="2" t="s">
        <v>18</v>
      </c>
      <c r="E133" s="2">
        <v>9399440.0</v>
      </c>
      <c r="F133" s="2" t="s">
        <v>12</v>
      </c>
      <c r="G133" s="3">
        <v>45004.0</v>
      </c>
      <c r="H133" s="2">
        <v>2023.0</v>
      </c>
      <c r="I133" s="2">
        <v>3.0</v>
      </c>
      <c r="J133" s="2">
        <v>19.0</v>
      </c>
    </row>
    <row r="134" ht="15.75" customHeight="1">
      <c r="A134" s="2">
        <v>101.0</v>
      </c>
      <c r="B134" s="2" t="s">
        <v>153</v>
      </c>
      <c r="C134" s="2">
        <v>55.0</v>
      </c>
      <c r="D134" s="2" t="s">
        <v>21</v>
      </c>
      <c r="E134" s="2">
        <v>3870745.0</v>
      </c>
      <c r="F134" s="2" t="s">
        <v>19</v>
      </c>
      <c r="G134" s="3">
        <v>45225.0</v>
      </c>
      <c r="H134" s="2">
        <v>2023.0</v>
      </c>
      <c r="I134" s="2">
        <v>10.0</v>
      </c>
      <c r="J134" s="2">
        <v>26.0</v>
      </c>
    </row>
    <row r="135" ht="15.75" customHeight="1">
      <c r="A135" s="2">
        <v>48.0</v>
      </c>
      <c r="B135" s="2" t="s">
        <v>154</v>
      </c>
      <c r="C135" s="2">
        <v>35.0</v>
      </c>
      <c r="D135" s="2" t="s">
        <v>24</v>
      </c>
      <c r="E135" s="2">
        <v>1.3516286E7</v>
      </c>
      <c r="F135" s="2" t="s">
        <v>12</v>
      </c>
      <c r="G135" s="3">
        <v>45065.0</v>
      </c>
      <c r="H135" s="2">
        <v>2023.0</v>
      </c>
      <c r="I135" s="2">
        <v>5.0</v>
      </c>
      <c r="J135" s="2">
        <v>19.0</v>
      </c>
    </row>
    <row r="136" ht="15.75" customHeight="1">
      <c r="A136" s="2">
        <v>47.0</v>
      </c>
      <c r="B136" s="2" t="s">
        <v>155</v>
      </c>
      <c r="C136" s="2">
        <v>46.0</v>
      </c>
      <c r="D136" s="2" t="s">
        <v>14</v>
      </c>
      <c r="E136" s="2">
        <v>2.0E7</v>
      </c>
      <c r="F136" s="2" t="s">
        <v>19</v>
      </c>
      <c r="G136" s="3">
        <v>45267.0</v>
      </c>
      <c r="H136" s="2">
        <v>2023.0</v>
      </c>
      <c r="I136" s="2">
        <v>12.0</v>
      </c>
      <c r="J136" s="2">
        <v>7.0</v>
      </c>
    </row>
    <row r="137" ht="15.75" customHeight="1">
      <c r="A137" s="2">
        <v>141.0</v>
      </c>
      <c r="B137" s="2" t="s">
        <v>156</v>
      </c>
      <c r="C137" s="2">
        <v>58.0</v>
      </c>
      <c r="D137" s="2" t="s">
        <v>18</v>
      </c>
      <c r="E137" s="2">
        <v>1.0345712E7</v>
      </c>
      <c r="F137" s="2" t="s">
        <v>12</v>
      </c>
      <c r="G137" s="3">
        <v>45123.0</v>
      </c>
      <c r="H137" s="2">
        <v>2023.0</v>
      </c>
      <c r="I137" s="2">
        <v>7.0</v>
      </c>
      <c r="J137" s="2">
        <v>16.0</v>
      </c>
    </row>
    <row r="138" ht="15.75" customHeight="1">
      <c r="A138" s="2">
        <v>39.0</v>
      </c>
      <c r="B138" s="2" t="s">
        <v>157</v>
      </c>
      <c r="C138" s="2">
        <v>53.0</v>
      </c>
      <c r="D138" s="2" t="s">
        <v>24</v>
      </c>
      <c r="E138" s="2">
        <v>5104084.0</v>
      </c>
      <c r="F138" s="2" t="s">
        <v>12</v>
      </c>
      <c r="G138" s="3">
        <v>44995.0</v>
      </c>
      <c r="H138" s="2">
        <v>2023.0</v>
      </c>
      <c r="I138" s="2">
        <v>3.0</v>
      </c>
      <c r="J138" s="2">
        <v>10.0</v>
      </c>
    </row>
    <row r="139" ht="15.75" customHeight="1">
      <c r="A139" s="2">
        <v>112.0</v>
      </c>
      <c r="B139" s="2" t="s">
        <v>158</v>
      </c>
      <c r="C139" s="2">
        <v>53.0</v>
      </c>
      <c r="D139" s="2" t="s">
        <v>18</v>
      </c>
      <c r="E139" s="2">
        <v>1.3421532E7</v>
      </c>
      <c r="F139" s="2" t="s">
        <v>19</v>
      </c>
      <c r="G139" s="3">
        <v>45016.0</v>
      </c>
      <c r="H139" s="2">
        <v>2023.0</v>
      </c>
      <c r="I139" s="2">
        <v>3.0</v>
      </c>
      <c r="J139" s="2">
        <v>31.0</v>
      </c>
    </row>
    <row r="140" ht="15.75" customHeight="1">
      <c r="A140" s="2">
        <v>76.0</v>
      </c>
      <c r="B140" s="2" t="s">
        <v>159</v>
      </c>
      <c r="C140" s="2">
        <v>55.0</v>
      </c>
      <c r="D140" s="2" t="s">
        <v>11</v>
      </c>
      <c r="E140" s="2">
        <v>9809636.0</v>
      </c>
      <c r="F140" s="2" t="s">
        <v>12</v>
      </c>
      <c r="G140" s="3">
        <v>45082.0</v>
      </c>
      <c r="H140" s="2">
        <v>2023.0</v>
      </c>
      <c r="I140" s="2">
        <v>6.0</v>
      </c>
      <c r="J140" s="2">
        <v>5.0</v>
      </c>
    </row>
    <row r="141" ht="15.75" customHeight="1">
      <c r="A141" s="2">
        <v>122.0</v>
      </c>
      <c r="B141" s="2" t="s">
        <v>160</v>
      </c>
      <c r="C141" s="2">
        <v>37.0</v>
      </c>
      <c r="D141" s="2" t="s">
        <v>32</v>
      </c>
      <c r="E141" s="2">
        <v>8759574.0</v>
      </c>
      <c r="F141" s="2" t="s">
        <v>19</v>
      </c>
      <c r="G141" s="3">
        <v>45162.0</v>
      </c>
      <c r="H141" s="2">
        <v>2023.0</v>
      </c>
      <c r="I141" s="2">
        <v>8.0</v>
      </c>
      <c r="J141" s="2">
        <v>24.0</v>
      </c>
    </row>
    <row r="142" ht="15.75" customHeight="1">
      <c r="A142" s="2">
        <v>85.0</v>
      </c>
      <c r="B142" s="2" t="s">
        <v>161</v>
      </c>
      <c r="C142" s="2">
        <v>18.0</v>
      </c>
      <c r="D142" s="2" t="s">
        <v>18</v>
      </c>
      <c r="E142" s="2">
        <v>1.2955313E7</v>
      </c>
      <c r="F142" s="2" t="s">
        <v>19</v>
      </c>
      <c r="G142" s="3">
        <v>44946.0</v>
      </c>
      <c r="H142" s="2">
        <v>2023.0</v>
      </c>
      <c r="I142" s="2">
        <v>1.0</v>
      </c>
      <c r="J142" s="2">
        <v>20.0</v>
      </c>
    </row>
    <row r="143" ht="15.75" customHeight="1">
      <c r="A143" s="2">
        <v>109.0</v>
      </c>
      <c r="B143" s="2" t="s">
        <v>162</v>
      </c>
      <c r="C143" s="2">
        <v>44.0</v>
      </c>
      <c r="D143" s="2" t="s">
        <v>32</v>
      </c>
      <c r="E143" s="2">
        <v>2.0E7</v>
      </c>
      <c r="F143" s="2" t="s">
        <v>12</v>
      </c>
      <c r="G143" s="3">
        <v>45208.0</v>
      </c>
      <c r="H143" s="2">
        <v>2023.0</v>
      </c>
      <c r="I143" s="2">
        <v>10.0</v>
      </c>
      <c r="J143" s="2">
        <v>9.0</v>
      </c>
    </row>
    <row r="144" ht="15.75" customHeight="1">
      <c r="A144" s="2">
        <v>71.0</v>
      </c>
      <c r="B144" s="2" t="s">
        <v>163</v>
      </c>
      <c r="C144" s="2">
        <v>22.0</v>
      </c>
      <c r="D144" s="2" t="s">
        <v>11</v>
      </c>
      <c r="E144" s="2">
        <v>1.0481842E7</v>
      </c>
      <c r="F144" s="2" t="s">
        <v>19</v>
      </c>
      <c r="G144" s="3">
        <v>44957.0</v>
      </c>
      <c r="H144" s="2">
        <v>2023.0</v>
      </c>
      <c r="I144" s="2">
        <v>1.0</v>
      </c>
      <c r="J144" s="2">
        <v>31.0</v>
      </c>
    </row>
    <row r="145" ht="15.75" customHeight="1">
      <c r="A145" s="2">
        <v>40.0</v>
      </c>
      <c r="B145" s="2" t="s">
        <v>164</v>
      </c>
      <c r="C145" s="2">
        <v>19.0</v>
      </c>
      <c r="D145" s="2" t="s">
        <v>14</v>
      </c>
      <c r="E145" s="2">
        <v>1.7600492E7</v>
      </c>
      <c r="F145" s="2" t="s">
        <v>19</v>
      </c>
      <c r="G145" s="3">
        <v>45029.0</v>
      </c>
      <c r="H145" s="2">
        <v>2023.0</v>
      </c>
      <c r="I145" s="2">
        <v>4.0</v>
      </c>
      <c r="J145" s="2">
        <v>13.0</v>
      </c>
    </row>
    <row r="146" ht="15.75" customHeight="1">
      <c r="A146" s="2">
        <v>41.0</v>
      </c>
      <c r="B146" s="2" t="s">
        <v>165</v>
      </c>
      <c r="C146" s="2">
        <v>23.0</v>
      </c>
      <c r="D146" s="2" t="s">
        <v>32</v>
      </c>
      <c r="E146" s="2">
        <v>1.6705638E7</v>
      </c>
      <c r="F146" s="2" t="s">
        <v>19</v>
      </c>
      <c r="G146" s="3">
        <v>44938.0</v>
      </c>
      <c r="H146" s="2">
        <v>2023.0</v>
      </c>
      <c r="I146" s="2">
        <v>1.0</v>
      </c>
      <c r="J146" s="2">
        <v>12.0</v>
      </c>
    </row>
    <row r="147" ht="15.75" customHeight="1">
      <c r="A147" s="2">
        <v>8.0</v>
      </c>
      <c r="B147" s="2" t="s">
        <v>166</v>
      </c>
      <c r="C147" s="2">
        <v>37.0</v>
      </c>
      <c r="D147" s="2" t="s">
        <v>26</v>
      </c>
      <c r="E147" s="2">
        <v>1.903328E7</v>
      </c>
      <c r="F147" s="2" t="s">
        <v>12</v>
      </c>
      <c r="G147" s="3">
        <v>45015.0</v>
      </c>
      <c r="H147" s="2">
        <v>2023.0</v>
      </c>
      <c r="I147" s="2">
        <v>3.0</v>
      </c>
      <c r="J147" s="2">
        <v>30.0</v>
      </c>
    </row>
    <row r="148" ht="15.75" customHeight="1">
      <c r="A148" s="2">
        <v>35.0</v>
      </c>
      <c r="B148" s="2" t="s">
        <v>167</v>
      </c>
      <c r="C148" s="2">
        <v>51.0</v>
      </c>
      <c r="D148" s="2" t="s">
        <v>26</v>
      </c>
      <c r="E148" s="2">
        <v>1.9193548E7</v>
      </c>
      <c r="F148" s="2" t="s">
        <v>12</v>
      </c>
      <c r="G148" s="3">
        <v>45102.0</v>
      </c>
      <c r="H148" s="2">
        <v>2023.0</v>
      </c>
      <c r="I148" s="2">
        <v>6.0</v>
      </c>
      <c r="J148" s="2">
        <v>25.0</v>
      </c>
    </row>
    <row r="149" ht="15.75" customHeight="1">
      <c r="A149" s="2">
        <v>13.0</v>
      </c>
      <c r="B149" s="2" t="s">
        <v>168</v>
      </c>
      <c r="C149" s="2">
        <v>45.0</v>
      </c>
      <c r="D149" s="2" t="s">
        <v>24</v>
      </c>
      <c r="E149" s="2">
        <v>3706063.0</v>
      </c>
      <c r="F149" s="2" t="s">
        <v>19</v>
      </c>
      <c r="G149" s="3">
        <v>45189.0</v>
      </c>
      <c r="H149" s="2">
        <v>2023.0</v>
      </c>
      <c r="I149" s="2">
        <v>9.0</v>
      </c>
      <c r="J149" s="2">
        <v>20.0</v>
      </c>
    </row>
    <row r="150" ht="15.75" customHeight="1">
      <c r="A150" s="2">
        <v>1.0</v>
      </c>
      <c r="B150" s="2" t="s">
        <v>169</v>
      </c>
      <c r="C150" s="2">
        <v>29.0</v>
      </c>
      <c r="D150" s="2" t="s">
        <v>14</v>
      </c>
      <c r="E150" s="2">
        <v>1.568213E7</v>
      </c>
      <c r="F150" s="2" t="s">
        <v>12</v>
      </c>
      <c r="G150" s="3">
        <v>45053.0</v>
      </c>
      <c r="H150" s="2">
        <v>2023.0</v>
      </c>
      <c r="I150" s="2">
        <v>5.0</v>
      </c>
      <c r="J150" s="2">
        <v>7.0</v>
      </c>
    </row>
    <row r="151" ht="15.75" customHeight="1">
      <c r="A151" s="2">
        <v>69.0</v>
      </c>
      <c r="B151" s="2" t="s">
        <v>170</v>
      </c>
      <c r="C151" s="2">
        <v>27.0</v>
      </c>
      <c r="D151" s="2" t="s">
        <v>11</v>
      </c>
      <c r="E151" s="2">
        <v>7340883.0</v>
      </c>
      <c r="F151" s="2" t="s">
        <v>19</v>
      </c>
      <c r="G151" s="3">
        <v>45262.0</v>
      </c>
      <c r="H151" s="2">
        <v>2023.0</v>
      </c>
      <c r="I151" s="2">
        <v>12.0</v>
      </c>
      <c r="J151" s="2">
        <v>2.0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3" max="3" width="17.43"/>
    <col customWidth="1" min="4" max="4" width="10.29"/>
    <col customWidth="1" min="5" max="5" width="17.0"/>
    <col customWidth="1" min="9" max="9" width="20.43"/>
    <col customWidth="1" min="14" max="14" width="25.71"/>
    <col customWidth="1" min="15" max="15" width="25.43"/>
  </cols>
  <sheetData>
    <row r="1">
      <c r="A1" s="4" t="s">
        <v>2</v>
      </c>
      <c r="B1" s="4" t="s">
        <v>4</v>
      </c>
      <c r="C1" s="5" t="s">
        <v>171</v>
      </c>
      <c r="D1" s="5" t="s">
        <v>172</v>
      </c>
      <c r="E1" s="6" t="s">
        <v>173</v>
      </c>
      <c r="F1" s="7" t="s">
        <v>174</v>
      </c>
      <c r="G1" s="8" t="s">
        <v>175</v>
      </c>
      <c r="H1" s="8" t="s">
        <v>176</v>
      </c>
      <c r="I1" s="9" t="s">
        <v>177</v>
      </c>
    </row>
    <row r="2">
      <c r="A2" s="10">
        <v>51.0</v>
      </c>
      <c r="B2" s="10">
        <v>9819256.0</v>
      </c>
      <c r="C2" s="10">
        <v>5.00782056E8</v>
      </c>
      <c r="D2" s="10">
        <v>2601.0</v>
      </c>
      <c r="E2" s="11">
        <v>9.64178E18</v>
      </c>
      <c r="F2" s="10" t="s">
        <v>178</v>
      </c>
      <c r="G2" s="12">
        <v>-2.229275628E9</v>
      </c>
      <c r="H2" s="11">
        <v>4.96967E17</v>
      </c>
      <c r="I2" s="13">
        <v>3.59628E20</v>
      </c>
      <c r="J2" s="2"/>
      <c r="K2" s="14" t="s">
        <v>179</v>
      </c>
      <c r="L2" s="15">
        <f>sum(C2:C151)</f>
        <v>68703910095</v>
      </c>
      <c r="N2" s="16" t="s">
        <v>180</v>
      </c>
      <c r="O2" s="17">
        <f>AVERAGE(A2:A151)</f>
        <v>38.28</v>
      </c>
    </row>
    <row r="3">
      <c r="A3" s="10">
        <v>37.0</v>
      </c>
      <c r="B3" s="10">
        <v>4991886.0</v>
      </c>
      <c r="C3" s="10">
        <v>1.84699782E8</v>
      </c>
      <c r="D3" s="10">
        <v>1369.0</v>
      </c>
      <c r="E3" s="11">
        <v>2.49189E18</v>
      </c>
      <c r="F3" s="10" t="s">
        <v>181</v>
      </c>
      <c r="G3" s="10" t="s">
        <v>182</v>
      </c>
      <c r="H3" s="11">
        <v>4.78817E18</v>
      </c>
      <c r="I3" s="13">
        <v>3.59132E20</v>
      </c>
      <c r="J3" s="2"/>
      <c r="K3" s="18" t="s">
        <v>183</v>
      </c>
      <c r="L3" s="19">
        <f>SUM(A2:A151)</f>
        <v>5742</v>
      </c>
      <c r="N3" s="16" t="s">
        <v>184</v>
      </c>
      <c r="O3" s="17">
        <f>AVERAGE(B2:B151)</f>
        <v>11924072.03</v>
      </c>
    </row>
    <row r="4">
      <c r="A4" s="10">
        <v>31.0</v>
      </c>
      <c r="B4" s="10">
        <v>1.9094979E7</v>
      </c>
      <c r="C4" s="10">
        <v>5.91944349E8</v>
      </c>
      <c r="D4" s="10">
        <v>961.0</v>
      </c>
      <c r="E4" s="11">
        <v>3.64618E19</v>
      </c>
      <c r="F4" s="10" t="s">
        <v>185</v>
      </c>
      <c r="G4" s="12">
        <v>7.242138569E9</v>
      </c>
      <c r="H4" s="11">
        <v>5.24486E18</v>
      </c>
      <c r="I4" s="13">
        <v>3.54343E20</v>
      </c>
      <c r="J4" s="2"/>
      <c r="K4" s="18" t="s">
        <v>186</v>
      </c>
      <c r="L4" s="19">
        <f>SUM(B2:B151)</f>
        <v>1788610804</v>
      </c>
    </row>
    <row r="5">
      <c r="A5" s="10">
        <v>54.0</v>
      </c>
      <c r="B5" s="10">
        <v>1.5843052E7</v>
      </c>
      <c r="C5" s="10">
        <v>8.55524808E8</v>
      </c>
      <c r="D5" s="10">
        <v>2916.0</v>
      </c>
      <c r="E5" s="11">
        <v>2.51002E19</v>
      </c>
      <c r="F5" s="10" t="s">
        <v>187</v>
      </c>
      <c r="G5" s="12">
        <v>3.765166692E9</v>
      </c>
      <c r="H5" s="11">
        <v>1.41765E18</v>
      </c>
      <c r="I5" s="13">
        <v>3.49098E20</v>
      </c>
      <c r="J5" s="2"/>
      <c r="K5" s="18" t="s">
        <v>188</v>
      </c>
      <c r="L5" s="19">
        <f>SUM(D2:D151)</f>
        <v>243912</v>
      </c>
    </row>
    <row r="6">
      <c r="A6" s="10">
        <v>26.0</v>
      </c>
      <c r="B6" s="10">
        <v>2.0E7</v>
      </c>
      <c r="C6" s="10">
        <v>5.2E8</v>
      </c>
      <c r="D6" s="10">
        <v>676.0</v>
      </c>
      <c r="E6" s="11">
        <v>4.0E19</v>
      </c>
      <c r="F6" s="10" t="s">
        <v>189</v>
      </c>
      <c r="G6" s="12">
        <v>8.196082369E9</v>
      </c>
      <c r="H6" s="11">
        <v>6.71758E18</v>
      </c>
      <c r="I6" s="13">
        <v>3.47681E20</v>
      </c>
      <c r="J6" s="2"/>
      <c r="K6" s="18" t="s">
        <v>190</v>
      </c>
      <c r="L6" s="20">
        <f>SUM(E2:E151)</f>
        <v>2.49261E+21</v>
      </c>
    </row>
    <row r="7">
      <c r="A7" s="10">
        <v>23.0</v>
      </c>
      <c r="B7" s="10">
        <v>1.9083912E7</v>
      </c>
      <c r="C7" s="10">
        <v>4.38929976E8</v>
      </c>
      <c r="D7" s="10">
        <v>529.0</v>
      </c>
      <c r="E7" s="11">
        <v>3.64196E19</v>
      </c>
      <c r="F7" s="10" t="s">
        <v>191</v>
      </c>
      <c r="G7" s="12">
        <v>7.309348048E9</v>
      </c>
      <c r="H7" s="11">
        <v>5.34266E18</v>
      </c>
      <c r="I7" s="13">
        <v>3.40963E20</v>
      </c>
      <c r="J7" s="2"/>
      <c r="K7" s="18" t="s">
        <v>192</v>
      </c>
      <c r="L7" s="19">
        <f>counta(A2:A151)</f>
        <v>150</v>
      </c>
    </row>
    <row r="8">
      <c r="A8" s="10">
        <v>54.0</v>
      </c>
      <c r="B8" s="10">
        <v>8936569.0</v>
      </c>
      <c r="C8" s="10">
        <v>4.82574726E8</v>
      </c>
      <c r="D8" s="10">
        <v>2916.0</v>
      </c>
      <c r="E8" s="11">
        <v>7.98623E18</v>
      </c>
      <c r="F8" s="10" t="s">
        <v>187</v>
      </c>
      <c r="G8" s="12">
        <v>-3.141316308E9</v>
      </c>
      <c r="H8" s="11">
        <v>9.86787E17</v>
      </c>
      <c r="I8" s="13">
        <v>3.35621E20</v>
      </c>
      <c r="K8" s="21"/>
      <c r="L8" s="22"/>
      <c r="O8" s="16" t="s">
        <v>193</v>
      </c>
    </row>
    <row r="9">
      <c r="A9" s="10">
        <v>51.0</v>
      </c>
      <c r="B9" s="10">
        <v>1.1766009E7</v>
      </c>
      <c r="C9" s="10">
        <v>6.00066459E8</v>
      </c>
      <c r="D9" s="10">
        <v>2601.0</v>
      </c>
      <c r="E9" s="11">
        <v>1.38439E19</v>
      </c>
      <c r="F9" s="10" t="s">
        <v>178</v>
      </c>
      <c r="G9" s="12">
        <v>-2.825226283E9</v>
      </c>
      <c r="H9" s="11">
        <v>7.9819E15</v>
      </c>
      <c r="I9" s="13">
        <v>3.34634E20</v>
      </c>
      <c r="J9" s="2"/>
      <c r="K9" s="18" t="s">
        <v>194</v>
      </c>
      <c r="L9" s="19">
        <f>L2-((L3*L4)/L7)</f>
        <v>235888517.9</v>
      </c>
      <c r="N9" s="16" t="s">
        <v>195</v>
      </c>
      <c r="O9" s="17">
        <f>L9/L10</f>
        <v>9784.55988</v>
      </c>
    </row>
    <row r="10">
      <c r="A10" s="10">
        <v>51.0</v>
      </c>
      <c r="B10" s="10">
        <v>1.8099831E7</v>
      </c>
      <c r="C10" s="10">
        <v>9.23091381E8</v>
      </c>
      <c r="D10" s="10">
        <v>2601.0</v>
      </c>
      <c r="E10" s="11">
        <v>3.27604E19</v>
      </c>
      <c r="F10" s="10" t="s">
        <v>178</v>
      </c>
      <c r="G10" s="12">
        <v>6.051299372E9</v>
      </c>
      <c r="H10" s="11">
        <v>3.66182E18</v>
      </c>
      <c r="I10" s="13">
        <v>3.34626E20</v>
      </c>
      <c r="J10" s="2"/>
      <c r="K10" s="18" t="s">
        <v>196</v>
      </c>
      <c r="L10" s="19">
        <f>L5-((L3^2)/L7)</f>
        <v>24108.24</v>
      </c>
      <c r="N10" s="16" t="s">
        <v>197</v>
      </c>
      <c r="O10" s="17">
        <f>O3-(O9*O2)</f>
        <v>11549519.07</v>
      </c>
    </row>
    <row r="11">
      <c r="A11" s="10">
        <v>35.0</v>
      </c>
      <c r="B11" s="10">
        <v>1.4000239E7</v>
      </c>
      <c r="C11" s="10">
        <v>4.90008365E8</v>
      </c>
      <c r="D11" s="10">
        <v>1225.0</v>
      </c>
      <c r="E11" s="11">
        <v>1.96007E19</v>
      </c>
      <c r="F11" s="10" t="s">
        <v>198</v>
      </c>
      <c r="G11" s="10" t="s">
        <v>199</v>
      </c>
      <c r="H11" s="11">
        <v>4.44476E17</v>
      </c>
      <c r="I11" s="13">
        <v>3.30964E20</v>
      </c>
      <c r="J11" s="2"/>
      <c r="K11" s="18" t="s">
        <v>200</v>
      </c>
      <c r="L11" s="20">
        <f>L6-((L4^2)/L7)</f>
        <v>2.49259E+21</v>
      </c>
    </row>
    <row r="12">
      <c r="A12" s="10">
        <v>24.0</v>
      </c>
      <c r="B12" s="10">
        <v>1.4715249E7</v>
      </c>
      <c r="C12" s="10">
        <v>3.53165976E8</v>
      </c>
      <c r="D12" s="10">
        <v>576.0</v>
      </c>
      <c r="E12" s="11">
        <v>2.16539E19</v>
      </c>
      <c r="F12" s="10" t="s">
        <v>201</v>
      </c>
      <c r="G12" s="12">
        <v>2.930900488E9</v>
      </c>
      <c r="H12" s="11">
        <v>8.59018E17</v>
      </c>
      <c r="I12" s="13">
        <v>3.3052E20</v>
      </c>
      <c r="J12" s="2"/>
      <c r="K12" s="18" t="s">
        <v>202</v>
      </c>
      <c r="L12" s="19">
        <f>L9/(SQRT(L10*L11))</f>
        <v>0.00003042976564</v>
      </c>
      <c r="O12" s="16" t="s">
        <v>203</v>
      </c>
    </row>
    <row r="13">
      <c r="A13" s="10">
        <v>21.0</v>
      </c>
      <c r="B13" s="10">
        <v>1.774707E7</v>
      </c>
      <c r="C13" s="10">
        <v>3.7268847E8</v>
      </c>
      <c r="D13" s="10">
        <v>441.0</v>
      </c>
      <c r="E13" s="11">
        <v>3.14958E19</v>
      </c>
      <c r="F13" s="10" t="s">
        <v>204</v>
      </c>
      <c r="G13" s="12">
        <v>5.992075168E9</v>
      </c>
      <c r="H13" s="11">
        <v>3.5905E18</v>
      </c>
      <c r="I13" s="13">
        <v>3.29661E20</v>
      </c>
      <c r="J13" s="16"/>
      <c r="K13" s="23" t="s">
        <v>205</v>
      </c>
      <c r="L13" s="24">
        <f>L12^2</f>
        <v>0.000000000925970637</v>
      </c>
    </row>
    <row r="14">
      <c r="A14" s="10">
        <v>29.0</v>
      </c>
      <c r="B14" s="10">
        <v>1.1336918E7</v>
      </c>
      <c r="C14" s="10">
        <v>3.28770622E8</v>
      </c>
      <c r="D14" s="10">
        <v>841.0</v>
      </c>
      <c r="E14" s="11">
        <v>1.28526E19</v>
      </c>
      <c r="F14" s="10" t="s">
        <v>206</v>
      </c>
      <c r="G14" s="12">
        <v>-4.96353311E8</v>
      </c>
      <c r="H14" s="11">
        <v>2.46367E16</v>
      </c>
      <c r="I14" s="13">
        <v>3.2607E20</v>
      </c>
      <c r="N14" s="16" t="s">
        <v>207</v>
      </c>
      <c r="O14" s="17">
        <f>MEDIAN(A2:A151)</f>
        <v>37</v>
      </c>
    </row>
    <row r="15">
      <c r="A15" s="10">
        <v>48.0</v>
      </c>
      <c r="B15" s="10">
        <v>1.9604676E7</v>
      </c>
      <c r="C15" s="10">
        <v>9.41024448E8</v>
      </c>
      <c r="D15" s="10">
        <v>2304.0</v>
      </c>
      <c r="E15" s="11">
        <v>3.84343E19</v>
      </c>
      <c r="F15" s="10" t="s">
        <v>208</v>
      </c>
      <c r="G15" s="12">
        <v>7.585498051E9</v>
      </c>
      <c r="H15" s="11">
        <v>5.75398E18</v>
      </c>
      <c r="I15" s="13">
        <v>3.26045E20</v>
      </c>
      <c r="N15" s="16" t="s">
        <v>209</v>
      </c>
      <c r="O15" s="17">
        <f>MEDIAN(B2:B151)</f>
        <v>11884682</v>
      </c>
    </row>
    <row r="16">
      <c r="A16" s="10">
        <v>38.0</v>
      </c>
      <c r="B16" s="10">
        <v>1.5456081E7</v>
      </c>
      <c r="C16" s="10">
        <v>5.87331078E8</v>
      </c>
      <c r="D16" s="10">
        <v>1444.0</v>
      </c>
      <c r="E16" s="11">
        <v>2.3889E19</v>
      </c>
      <c r="F16" s="10" t="s">
        <v>210</v>
      </c>
      <c r="G16" s="10" t="s">
        <v>211</v>
      </c>
      <c r="H16" s="11">
        <v>1.24944E18</v>
      </c>
      <c r="I16" s="13">
        <v>3.20291E20</v>
      </c>
      <c r="N16" s="16" t="s">
        <v>212</v>
      </c>
      <c r="O16" s="17">
        <f>_xlfn.STDEV.P(A2:A151)</f>
        <v>12.6776023</v>
      </c>
    </row>
    <row r="17">
      <c r="A17" s="10">
        <v>18.0</v>
      </c>
      <c r="B17" s="10">
        <v>4273781.0</v>
      </c>
      <c r="C17" s="10">
        <v>7.6928058E7</v>
      </c>
      <c r="D17" s="10">
        <v>324.0</v>
      </c>
      <c r="E17" s="11">
        <v>1.82652E18</v>
      </c>
      <c r="F17" s="10" t="s">
        <v>213</v>
      </c>
      <c r="G17" s="12">
        <v>-7.451860152E9</v>
      </c>
      <c r="H17" s="11">
        <v>5.55302E18</v>
      </c>
      <c r="I17" s="13">
        <v>3.19042E20</v>
      </c>
      <c r="N17" s="16" t="s">
        <v>214</v>
      </c>
      <c r="O17" s="17">
        <f>_xlfn.STDEV.P(B2:B151)</f>
        <v>4898022.046</v>
      </c>
    </row>
    <row r="18">
      <c r="A18" s="10">
        <v>19.0</v>
      </c>
      <c r="B18" s="10">
        <v>1.6402061E7</v>
      </c>
      <c r="C18" s="10">
        <v>3.11639159E8</v>
      </c>
      <c r="D18" s="10">
        <v>361.0</v>
      </c>
      <c r="E18" s="11">
        <v>2.69028E19</v>
      </c>
      <c r="F18" s="10" t="s">
        <v>215</v>
      </c>
      <c r="G18" s="12">
        <v>4.666635288E9</v>
      </c>
      <c r="H18" s="11">
        <v>2.17775E18</v>
      </c>
      <c r="I18" s="13">
        <v>3.13489E20</v>
      </c>
      <c r="N18" s="16" t="s">
        <v>216</v>
      </c>
      <c r="O18" s="17">
        <f>_xlfn.SKEW.P(A2:A151)</f>
        <v>-0.03077600499</v>
      </c>
    </row>
    <row r="19">
      <c r="A19" s="10">
        <v>48.0</v>
      </c>
      <c r="B19" s="10">
        <v>1.9309592E7</v>
      </c>
      <c r="C19" s="10">
        <v>9.26860416E8</v>
      </c>
      <c r="D19" s="10">
        <v>2304.0</v>
      </c>
      <c r="E19" s="11">
        <v>3.7286E19</v>
      </c>
      <c r="F19" s="10" t="s">
        <v>208</v>
      </c>
      <c r="G19" s="12">
        <v>7.290414051E9</v>
      </c>
      <c r="H19" s="11">
        <v>5.31501E18</v>
      </c>
      <c r="I19" s="13">
        <v>3.11311E20</v>
      </c>
      <c r="N19" s="16" t="s">
        <v>217</v>
      </c>
      <c r="O19" s="17">
        <f>SKEW(B2:B151)</f>
        <v>-0.01139312869</v>
      </c>
    </row>
    <row r="20">
      <c r="A20" s="10">
        <v>56.0</v>
      </c>
      <c r="B20" s="10">
        <v>1.7798272E7</v>
      </c>
      <c r="C20" s="10">
        <v>9.96703232E8</v>
      </c>
      <c r="D20" s="10">
        <v>3136.0</v>
      </c>
      <c r="E20" s="11">
        <v>3.16778E19</v>
      </c>
      <c r="F20" s="10" t="s">
        <v>218</v>
      </c>
      <c r="G20" s="12">
        <v>5.700817572E9</v>
      </c>
      <c r="H20" s="11">
        <v>3.24993E18</v>
      </c>
      <c r="I20" s="13">
        <v>3.05996E20</v>
      </c>
    </row>
    <row r="21">
      <c r="A21" s="10">
        <v>20.0</v>
      </c>
      <c r="B21" s="10">
        <v>1.0027036E7</v>
      </c>
      <c r="C21" s="10">
        <v>2.0054072E8</v>
      </c>
      <c r="D21" s="10">
        <v>400.0</v>
      </c>
      <c r="E21" s="11">
        <v>1.00541E19</v>
      </c>
      <c r="F21" s="10" t="s">
        <v>219</v>
      </c>
      <c r="G21" s="12">
        <v>-1.718174272E9</v>
      </c>
      <c r="H21" s="11">
        <v>2.95212E17</v>
      </c>
      <c r="I21" s="13">
        <v>3.02746E20</v>
      </c>
    </row>
    <row r="22">
      <c r="A22" s="10">
        <v>59.0</v>
      </c>
      <c r="B22" s="10">
        <v>1.9118158E7</v>
      </c>
      <c r="C22" s="10">
        <v>1.127971322E9</v>
      </c>
      <c r="D22" s="10">
        <v>3481.0</v>
      </c>
      <c r="E22" s="11">
        <v>3.65504E19</v>
      </c>
      <c r="F22" s="10" t="s">
        <v>220</v>
      </c>
      <c r="G22" s="12">
        <v>6.991349893E9</v>
      </c>
      <c r="H22" s="11">
        <v>4.8879E18</v>
      </c>
      <c r="I22" s="13">
        <v>3.02451E20</v>
      </c>
    </row>
    <row r="23">
      <c r="A23" s="10">
        <v>25.0</v>
      </c>
      <c r="B23" s="10">
        <v>1.498406E7</v>
      </c>
      <c r="C23" s="10">
        <v>3.746015E8</v>
      </c>
      <c r="D23" s="10">
        <v>625.0</v>
      </c>
      <c r="E23" s="11">
        <v>2.24522E19</v>
      </c>
      <c r="F23" s="10" t="s">
        <v>221</v>
      </c>
      <c r="G23" s="12">
        <v>3.189926929E9</v>
      </c>
      <c r="H23" s="11">
        <v>1.01756E18</v>
      </c>
      <c r="I23" s="13">
        <v>2.97563E20</v>
      </c>
    </row>
    <row r="24">
      <c r="A24" s="10">
        <v>58.0</v>
      </c>
      <c r="B24" s="10">
        <v>7428696.0</v>
      </c>
      <c r="C24" s="10">
        <v>4.30864368E8</v>
      </c>
      <c r="D24" s="10">
        <v>3364.0</v>
      </c>
      <c r="E24" s="11">
        <v>5.51855E18</v>
      </c>
      <c r="F24" s="10" t="s">
        <v>222</v>
      </c>
      <c r="G24" s="12">
        <v>-4.688327547E9</v>
      </c>
      <c r="H24" s="11">
        <v>2.19804E18</v>
      </c>
      <c r="I24" s="13">
        <v>2.96546E20</v>
      </c>
    </row>
    <row r="25">
      <c r="A25" s="10">
        <v>50.0</v>
      </c>
      <c r="B25" s="10">
        <v>3940656.0</v>
      </c>
      <c r="C25" s="10">
        <v>1.970328E8</v>
      </c>
      <c r="D25" s="10">
        <v>2500.0</v>
      </c>
      <c r="E25" s="11">
        <v>1.55288E18</v>
      </c>
      <c r="F25" s="10" t="s">
        <v>223</v>
      </c>
      <c r="G25" s="12">
        <v>-8.098091068E9</v>
      </c>
      <c r="H25" s="11">
        <v>6.55791E18</v>
      </c>
      <c r="I25" s="13">
        <v>2.94348E20</v>
      </c>
    </row>
    <row r="26">
      <c r="A26" s="10">
        <v>54.0</v>
      </c>
      <c r="B26" s="10">
        <v>8341592.0</v>
      </c>
      <c r="C26" s="10">
        <v>4.50445968E8</v>
      </c>
      <c r="D26" s="10">
        <v>2916.0</v>
      </c>
      <c r="E26" s="11">
        <v>6.95822E18</v>
      </c>
      <c r="F26" s="10" t="s">
        <v>187</v>
      </c>
      <c r="G26" s="12">
        <v>-3.736293308E9</v>
      </c>
      <c r="H26" s="11">
        <v>1.39599E18</v>
      </c>
      <c r="I26" s="13">
        <v>2.8779E20</v>
      </c>
    </row>
    <row r="27">
      <c r="A27" s="10">
        <v>36.0</v>
      </c>
      <c r="B27" s="10">
        <v>1.5476588E7</v>
      </c>
      <c r="C27" s="10">
        <v>5.57157168E8</v>
      </c>
      <c r="D27" s="10">
        <v>1296.0</v>
      </c>
      <c r="E27" s="11">
        <v>2.39525E19</v>
      </c>
      <c r="F27" s="10" t="s">
        <v>224</v>
      </c>
      <c r="G27" s="10" t="s">
        <v>225</v>
      </c>
      <c r="H27" s="11">
        <v>1.27794E18</v>
      </c>
      <c r="I27" s="13">
        <v>2.86394E20</v>
      </c>
    </row>
    <row r="28">
      <c r="A28" s="10">
        <v>49.0</v>
      </c>
      <c r="B28" s="10">
        <v>7341151.0</v>
      </c>
      <c r="C28" s="10">
        <v>3.59716399E8</v>
      </c>
      <c r="D28" s="10">
        <v>2401.0</v>
      </c>
      <c r="E28" s="11">
        <v>5.38925E18</v>
      </c>
      <c r="F28" s="10" t="s">
        <v>226</v>
      </c>
      <c r="G28" s="12">
        <v>-4.687811509E9</v>
      </c>
      <c r="H28" s="11">
        <v>2.19756E18</v>
      </c>
      <c r="I28" s="13">
        <v>2.85116E20</v>
      </c>
    </row>
    <row r="29">
      <c r="A29" s="10">
        <v>21.0</v>
      </c>
      <c r="B29" s="10">
        <v>1.3436619E7</v>
      </c>
      <c r="C29" s="10">
        <v>2.82168999E8</v>
      </c>
      <c r="D29" s="10">
        <v>441.0</v>
      </c>
      <c r="E29" s="11">
        <v>1.80543E19</v>
      </c>
      <c r="F29" s="10" t="s">
        <v>204</v>
      </c>
      <c r="G29" s="12">
        <v>1.681624168E9</v>
      </c>
      <c r="H29" s="11">
        <v>2.82786E17</v>
      </c>
      <c r="I29" s="13">
        <v>2.82918E20</v>
      </c>
    </row>
    <row r="30">
      <c r="A30" s="10">
        <v>27.0</v>
      </c>
      <c r="B30" s="10">
        <v>1.3309617E7</v>
      </c>
      <c r="C30" s="10">
        <v>3.59359659E8</v>
      </c>
      <c r="D30" s="10">
        <v>729.0</v>
      </c>
      <c r="E30" s="11">
        <v>1.77146E19</v>
      </c>
      <c r="F30" s="10" t="s">
        <v>227</v>
      </c>
      <c r="G30" s="12">
        <v>1.495914809E9</v>
      </c>
      <c r="H30" s="11">
        <v>2.23776E17</v>
      </c>
      <c r="I30" s="13">
        <v>2.82635E20</v>
      </c>
    </row>
    <row r="31">
      <c r="A31" s="10">
        <v>34.0</v>
      </c>
      <c r="B31" s="10">
        <v>1.2833134E7</v>
      </c>
      <c r="C31" s="10">
        <v>4.36326556E8</v>
      </c>
      <c r="D31" s="10">
        <v>1156.0</v>
      </c>
      <c r="E31" s="11">
        <v>1.64689E19</v>
      </c>
      <c r="F31" s="10" t="s">
        <v>228</v>
      </c>
      <c r="G31" s="12">
        <v>9.509398896E9</v>
      </c>
      <c r="H31" s="11">
        <v>9.04287E16</v>
      </c>
      <c r="I31" s="13">
        <v>2.82412E20</v>
      </c>
    </row>
    <row r="32">
      <c r="A32" s="10">
        <v>56.0</v>
      </c>
      <c r="B32" s="10">
        <v>8356753.0</v>
      </c>
      <c r="C32" s="10">
        <v>4.67978168E8</v>
      </c>
      <c r="D32" s="10">
        <v>3136.0</v>
      </c>
      <c r="E32" s="11">
        <v>6.98353E18</v>
      </c>
      <c r="F32" s="10" t="s">
        <v>218</v>
      </c>
      <c r="G32" s="12">
        <v>-3.740701428E9</v>
      </c>
      <c r="H32" s="11">
        <v>1.39928E18</v>
      </c>
      <c r="I32" s="13">
        <v>2.82321E20</v>
      </c>
    </row>
    <row r="33">
      <c r="A33" s="10">
        <v>48.0</v>
      </c>
      <c r="B33" s="10">
        <v>1.5046387E7</v>
      </c>
      <c r="C33" s="10">
        <v>7.22226576E8</v>
      </c>
      <c r="D33" s="10">
        <v>2304.0</v>
      </c>
      <c r="E33" s="11">
        <v>2.26394E19</v>
      </c>
      <c r="F33" s="10" t="s">
        <v>208</v>
      </c>
      <c r="G33" s="12">
        <v>3.027209051E9</v>
      </c>
      <c r="H33" s="11">
        <v>9.16399E17</v>
      </c>
      <c r="I33" s="13">
        <v>2.80922E20</v>
      </c>
    </row>
    <row r="34">
      <c r="A34" s="10">
        <v>48.0</v>
      </c>
      <c r="B34" s="10">
        <v>1.8298936E7</v>
      </c>
      <c r="C34" s="10">
        <v>8.78348928E8</v>
      </c>
      <c r="D34" s="10">
        <v>2304.0</v>
      </c>
      <c r="E34" s="11">
        <v>3.34851E19</v>
      </c>
      <c r="F34" s="10" t="s">
        <v>208</v>
      </c>
      <c r="G34" s="12">
        <v>6.279758051E9</v>
      </c>
      <c r="H34" s="11">
        <v>3.94354E18</v>
      </c>
      <c r="I34" s="13">
        <v>2.80005E20</v>
      </c>
    </row>
    <row r="35">
      <c r="A35" s="10">
        <v>20.0</v>
      </c>
      <c r="B35" s="10">
        <v>1.2742482E7</v>
      </c>
      <c r="C35" s="10">
        <v>2.5484964E8</v>
      </c>
      <c r="D35" s="10">
        <v>400.0</v>
      </c>
      <c r="E35" s="11">
        <v>1.62371E19</v>
      </c>
      <c r="F35" s="10" t="s">
        <v>219</v>
      </c>
      <c r="G35" s="12">
        <v>9.972717279E9</v>
      </c>
      <c r="H35" s="11">
        <v>9.94551E16</v>
      </c>
      <c r="I35" s="13">
        <v>2.76062E20</v>
      </c>
    </row>
    <row r="36">
      <c r="A36" s="10">
        <v>47.0</v>
      </c>
      <c r="B36" s="10">
        <v>8753091.0</v>
      </c>
      <c r="C36" s="10">
        <v>4.11395277E8</v>
      </c>
      <c r="D36" s="10">
        <v>2209.0</v>
      </c>
      <c r="E36" s="11">
        <v>7.66166E18</v>
      </c>
      <c r="F36" s="10" t="s">
        <v>229</v>
      </c>
      <c r="G36" s="12">
        <v>-3.256302389E9</v>
      </c>
      <c r="H36" s="11">
        <v>1.06035E18</v>
      </c>
      <c r="I36" s="13">
        <v>2.75962E20</v>
      </c>
    </row>
    <row r="37">
      <c r="A37" s="10">
        <v>18.0</v>
      </c>
      <c r="B37" s="10">
        <v>1.5180706E7</v>
      </c>
      <c r="C37" s="10">
        <v>2.73252708E8</v>
      </c>
      <c r="D37" s="10">
        <v>324.0</v>
      </c>
      <c r="E37" s="11">
        <v>2.30454E19</v>
      </c>
      <c r="F37" s="10" t="s">
        <v>213</v>
      </c>
      <c r="G37" s="12">
        <v>3.455064848E9</v>
      </c>
      <c r="H37" s="11">
        <v>1.19375E18</v>
      </c>
      <c r="I37" s="13">
        <v>2.74902E20</v>
      </c>
    </row>
    <row r="38">
      <c r="A38" s="10">
        <v>52.0</v>
      </c>
      <c r="B38" s="10">
        <v>1.0792766E7</v>
      </c>
      <c r="C38" s="10">
        <v>5.61223832E8</v>
      </c>
      <c r="D38" s="10">
        <v>2704.0</v>
      </c>
      <c r="E38" s="11">
        <v>1.16484E19</v>
      </c>
      <c r="F38" s="10" t="s">
        <v>230</v>
      </c>
      <c r="G38" s="12">
        <v>-1.265550188E9</v>
      </c>
      <c r="H38" s="11">
        <v>1.60162E17</v>
      </c>
      <c r="I38" s="13">
        <v>2.73708E20</v>
      </c>
    </row>
    <row r="39">
      <c r="A39" s="10">
        <v>54.0</v>
      </c>
      <c r="B39" s="10">
        <v>9066315.0</v>
      </c>
      <c r="C39" s="10">
        <v>4.8958101E8</v>
      </c>
      <c r="D39" s="10">
        <v>2916.0</v>
      </c>
      <c r="E39" s="11">
        <v>8.21981E18</v>
      </c>
      <c r="F39" s="10" t="s">
        <v>187</v>
      </c>
      <c r="G39" s="12">
        <v>-3.011570308E9</v>
      </c>
      <c r="H39" s="11">
        <v>9.06956E17</v>
      </c>
      <c r="I39" s="13">
        <v>2.73548E20</v>
      </c>
    </row>
    <row r="40">
      <c r="A40" s="10">
        <v>34.0</v>
      </c>
      <c r="B40" s="10">
        <v>1.3192406E7</v>
      </c>
      <c r="C40" s="10">
        <v>4.48541804E8</v>
      </c>
      <c r="D40" s="10">
        <v>1156.0</v>
      </c>
      <c r="E40" s="11">
        <v>1.7404E19</v>
      </c>
      <c r="F40" s="10" t="s">
        <v>228</v>
      </c>
      <c r="G40" s="10" t="s">
        <v>231</v>
      </c>
      <c r="H40" s="11">
        <v>1.71666E17</v>
      </c>
      <c r="I40" s="13">
        <v>2.72641E20</v>
      </c>
    </row>
    <row r="41">
      <c r="A41" s="10">
        <v>55.0</v>
      </c>
      <c r="B41" s="10">
        <v>1.1073609E7</v>
      </c>
      <c r="C41" s="10">
        <v>6.09048495E8</v>
      </c>
      <c r="D41" s="10">
        <v>3025.0</v>
      </c>
      <c r="E41" s="11">
        <v>1.22625E19</v>
      </c>
      <c r="F41" s="10" t="s">
        <v>232</v>
      </c>
      <c r="G41" s="12">
        <v>-1.014060868E9</v>
      </c>
      <c r="H41" s="11">
        <v>1.02832E17</v>
      </c>
      <c r="I41" s="13">
        <v>2.7247E20</v>
      </c>
    </row>
    <row r="42">
      <c r="A42" s="10">
        <v>45.0</v>
      </c>
      <c r="B42" s="10">
        <v>1.3493455E7</v>
      </c>
      <c r="C42" s="10">
        <v>6.07205475E8</v>
      </c>
      <c r="D42" s="10">
        <v>2025.0</v>
      </c>
      <c r="E42" s="11">
        <v>1.82073E19</v>
      </c>
      <c r="F42" s="10" t="s">
        <v>233</v>
      </c>
      <c r="G42" s="12">
        <v>1.503630731E9</v>
      </c>
      <c r="H42" s="11">
        <v>2.26091E17</v>
      </c>
      <c r="I42" s="13">
        <v>2.72367E20</v>
      </c>
    </row>
    <row r="43">
      <c r="A43" s="10">
        <v>45.0</v>
      </c>
      <c r="B43" s="10">
        <v>9640118.0</v>
      </c>
      <c r="C43" s="10">
        <v>4.3380531E8</v>
      </c>
      <c r="D43" s="10">
        <v>2025.0</v>
      </c>
      <c r="E43" s="11">
        <v>9.29319E18</v>
      </c>
      <c r="F43" s="10" t="s">
        <v>233</v>
      </c>
      <c r="G43" s="12">
        <v>-2.349706269E9</v>
      </c>
      <c r="H43" s="11">
        <v>5.52112E17</v>
      </c>
      <c r="I43" s="13">
        <v>2.72141E20</v>
      </c>
    </row>
    <row r="44">
      <c r="A44" s="10">
        <v>29.0</v>
      </c>
      <c r="B44" s="10">
        <v>1.788145E7</v>
      </c>
      <c r="C44" s="10">
        <v>5.1856205E8</v>
      </c>
      <c r="D44" s="10">
        <v>841.0</v>
      </c>
      <c r="E44" s="11">
        <v>3.19746E19</v>
      </c>
      <c r="F44" s="10" t="s">
        <v>206</v>
      </c>
      <c r="G44" s="12">
        <v>6.048178689E9</v>
      </c>
      <c r="H44" s="11">
        <v>3.65805E18</v>
      </c>
      <c r="I44" s="13">
        <v>2.71589E20</v>
      </c>
    </row>
    <row r="45">
      <c r="A45" s="10">
        <v>36.0</v>
      </c>
      <c r="B45" s="10">
        <v>1.152095E7</v>
      </c>
      <c r="C45" s="10">
        <v>4.147542E8</v>
      </c>
      <c r="D45" s="10">
        <v>1296.0</v>
      </c>
      <c r="E45" s="11">
        <v>1.32732E19</v>
      </c>
      <c r="F45" s="10" t="s">
        <v>224</v>
      </c>
      <c r="G45" s="12">
        <v>-3.808132301E9</v>
      </c>
      <c r="H45" s="11">
        <v>1.45019E16</v>
      </c>
      <c r="I45" s="13">
        <v>2.67931E20</v>
      </c>
    </row>
    <row r="46">
      <c r="A46" s="10">
        <v>26.0</v>
      </c>
      <c r="B46" s="10">
        <v>6335767.0</v>
      </c>
      <c r="C46" s="10">
        <v>1.64729942E8</v>
      </c>
      <c r="D46" s="10">
        <v>676.0</v>
      </c>
      <c r="E46" s="11">
        <v>4.01419E18</v>
      </c>
      <c r="F46" s="10" t="s">
        <v>189</v>
      </c>
      <c r="G46" s="12">
        <v>-5.468150631E9</v>
      </c>
      <c r="H46" s="11">
        <v>2.99007E18</v>
      </c>
      <c r="I46" s="13">
        <v>2.67916E20</v>
      </c>
    </row>
    <row r="47">
      <c r="A47" s="10">
        <v>45.0</v>
      </c>
      <c r="B47" s="10">
        <v>1.5936702E7</v>
      </c>
      <c r="C47" s="10">
        <v>7.1715159E8</v>
      </c>
      <c r="D47" s="10">
        <v>2025.0</v>
      </c>
      <c r="E47" s="11">
        <v>2.53978E19</v>
      </c>
      <c r="F47" s="10" t="s">
        <v>233</v>
      </c>
      <c r="G47" s="12">
        <v>3.946877731E9</v>
      </c>
      <c r="H47" s="11">
        <v>1.55778E18</v>
      </c>
      <c r="I47" s="13">
        <v>2.64926E20</v>
      </c>
    </row>
    <row r="48">
      <c r="A48" s="10">
        <v>46.0</v>
      </c>
      <c r="B48" s="10">
        <v>1.187642E7</v>
      </c>
      <c r="C48" s="10">
        <v>5.4631532E8</v>
      </c>
      <c r="D48" s="10">
        <v>2116.0</v>
      </c>
      <c r="E48" s="11">
        <v>1.41049E19</v>
      </c>
      <c r="F48" s="10" t="s">
        <v>234</v>
      </c>
      <c r="G48" s="12">
        <v>-1.231888289E9</v>
      </c>
      <c r="H48" s="11">
        <v>1.51755E15</v>
      </c>
      <c r="I48" s="13">
        <v>2.63368E20</v>
      </c>
    </row>
    <row r="49">
      <c r="A49" s="10">
        <v>34.0</v>
      </c>
      <c r="B49" s="10">
        <v>1.5893175E7</v>
      </c>
      <c r="C49" s="10">
        <v>5.4036795E8</v>
      </c>
      <c r="D49" s="10">
        <v>1156.0</v>
      </c>
      <c r="E49" s="11">
        <v>2.52593E19</v>
      </c>
      <c r="F49" s="10" t="s">
        <v>228</v>
      </c>
      <c r="G49" s="10" t="s">
        <v>235</v>
      </c>
      <c r="H49" s="11">
        <v>1.6088E18</v>
      </c>
      <c r="I49" s="13">
        <v>2.63367E20</v>
      </c>
    </row>
    <row r="50">
      <c r="A50" s="10">
        <v>55.0</v>
      </c>
      <c r="B50" s="10">
        <v>1.3773969E7</v>
      </c>
      <c r="C50" s="10">
        <v>7.57568295E8</v>
      </c>
      <c r="D50" s="10">
        <v>3025.0</v>
      </c>
      <c r="E50" s="11">
        <v>1.89722E19</v>
      </c>
      <c r="F50" s="10" t="s">
        <v>232</v>
      </c>
      <c r="G50" s="12">
        <v>1.686299132E9</v>
      </c>
      <c r="H50" s="11">
        <v>2.8436E17</v>
      </c>
      <c r="I50" s="13">
        <v>2.61758E20</v>
      </c>
    </row>
    <row r="51">
      <c r="A51" s="10">
        <v>55.0</v>
      </c>
      <c r="B51" s="10">
        <v>1.5726492E7</v>
      </c>
      <c r="C51" s="10">
        <v>8.6495706E8</v>
      </c>
      <c r="D51" s="10">
        <v>3025.0</v>
      </c>
      <c r="E51" s="11">
        <v>2.47323E19</v>
      </c>
      <c r="F51" s="10" t="s">
        <v>232</v>
      </c>
      <c r="G51" s="12">
        <v>3.638822132E9</v>
      </c>
      <c r="H51" s="11">
        <v>1.3241E18</v>
      </c>
      <c r="I51" s="13">
        <v>2.61473E20</v>
      </c>
    </row>
    <row r="52">
      <c r="A52" s="10">
        <v>36.0</v>
      </c>
      <c r="B52" s="10">
        <v>5691998.0</v>
      </c>
      <c r="C52" s="10">
        <v>2.04911928E8</v>
      </c>
      <c r="D52" s="10">
        <v>1296.0</v>
      </c>
      <c r="E52" s="11">
        <v>3.23988E18</v>
      </c>
      <c r="F52" s="10" t="s">
        <v>224</v>
      </c>
      <c r="G52" s="10" t="s">
        <v>236</v>
      </c>
      <c r="H52" s="11">
        <v>3.85612E18</v>
      </c>
      <c r="I52" s="13">
        <v>2.60149E20</v>
      </c>
    </row>
    <row r="53">
      <c r="A53" s="10">
        <v>25.0</v>
      </c>
      <c r="B53" s="10">
        <v>6858739.0</v>
      </c>
      <c r="C53" s="10">
        <v>1.71468475E8</v>
      </c>
      <c r="D53" s="10">
        <v>625.0</v>
      </c>
      <c r="E53" s="11">
        <v>4.70423E18</v>
      </c>
      <c r="F53" s="10" t="s">
        <v>221</v>
      </c>
      <c r="G53" s="12">
        <v>-4.935394071E9</v>
      </c>
      <c r="H53" s="11">
        <v>2.43581E18</v>
      </c>
      <c r="I53" s="13">
        <v>2.56293E20</v>
      </c>
    </row>
    <row r="54">
      <c r="A54" s="10">
        <v>53.0</v>
      </c>
      <c r="B54" s="10">
        <v>8755815.0</v>
      </c>
      <c r="C54" s="10">
        <v>4.64058195E8</v>
      </c>
      <c r="D54" s="10">
        <v>2809.0</v>
      </c>
      <c r="E54" s="11">
        <v>7.66643E18</v>
      </c>
      <c r="F54" s="10" t="s">
        <v>237</v>
      </c>
      <c r="G54" s="12">
        <v>-3.312285748E9</v>
      </c>
      <c r="H54" s="11">
        <v>1.09712E18</v>
      </c>
      <c r="I54" s="13">
        <v>2.53857E20</v>
      </c>
    </row>
    <row r="55">
      <c r="A55" s="10">
        <v>27.0</v>
      </c>
      <c r="B55" s="10">
        <v>1.7464535E7</v>
      </c>
      <c r="C55" s="10">
        <v>4.71542445E8</v>
      </c>
      <c r="D55" s="10">
        <v>729.0</v>
      </c>
      <c r="E55" s="11">
        <v>3.0501E19</v>
      </c>
      <c r="F55" s="10" t="s">
        <v>227</v>
      </c>
      <c r="G55" s="12">
        <v>5.650832809E9</v>
      </c>
      <c r="H55" s="11">
        <v>3.19319E18</v>
      </c>
      <c r="I55" s="13">
        <v>2.5276E20</v>
      </c>
    </row>
    <row r="56">
      <c r="A56" s="10">
        <v>18.0</v>
      </c>
      <c r="B56" s="10">
        <v>1.8732209E7</v>
      </c>
      <c r="C56" s="10">
        <v>3.37179762E8</v>
      </c>
      <c r="D56" s="10">
        <v>324.0</v>
      </c>
      <c r="E56" s="11">
        <v>3.50896E19</v>
      </c>
      <c r="F56" s="10" t="s">
        <v>213</v>
      </c>
      <c r="G56" s="12">
        <v>7.006567848E9</v>
      </c>
      <c r="H56" s="11">
        <v>4.9092E18</v>
      </c>
      <c r="I56" s="13">
        <v>2.49567E20</v>
      </c>
    </row>
    <row r="57">
      <c r="A57" s="10">
        <v>22.0</v>
      </c>
      <c r="B57" s="10">
        <v>9467398.0</v>
      </c>
      <c r="C57" s="10">
        <v>2.08282756E8</v>
      </c>
      <c r="D57" s="10">
        <v>484.0</v>
      </c>
      <c r="E57" s="11">
        <v>8.96316E18</v>
      </c>
      <c r="F57" s="10" t="s">
        <v>238</v>
      </c>
      <c r="G57" s="12">
        <v>-2.297381392E9</v>
      </c>
      <c r="H57" s="11">
        <v>5.27796E17</v>
      </c>
      <c r="I57" s="13">
        <v>2.44658E20</v>
      </c>
    </row>
    <row r="58">
      <c r="A58" s="10">
        <v>35.0</v>
      </c>
      <c r="B58" s="10">
        <v>7301639.0</v>
      </c>
      <c r="C58" s="10">
        <v>2.55557365E8</v>
      </c>
      <c r="D58" s="10">
        <v>1225.0</v>
      </c>
      <c r="E58" s="11">
        <v>5.33139E18</v>
      </c>
      <c r="F58" s="10" t="s">
        <v>198</v>
      </c>
      <c r="G58" s="10" t="s">
        <v>239</v>
      </c>
      <c r="H58" s="11">
        <v>2.10712E18</v>
      </c>
      <c r="I58" s="13">
        <v>2.4413E20</v>
      </c>
    </row>
    <row r="59">
      <c r="A59" s="10">
        <v>49.0</v>
      </c>
      <c r="B59" s="10">
        <v>1.9370196E7</v>
      </c>
      <c r="C59" s="10">
        <v>9.49139604E8</v>
      </c>
      <c r="D59" s="10">
        <v>2401.0</v>
      </c>
      <c r="E59" s="11">
        <v>3.75204E19</v>
      </c>
      <c r="F59" s="10" t="s">
        <v>226</v>
      </c>
      <c r="G59" s="12">
        <v>7.341233491E9</v>
      </c>
      <c r="H59" s="11">
        <v>5.38937E18</v>
      </c>
      <c r="I59" s="13">
        <v>2.42023E20</v>
      </c>
    </row>
    <row r="60">
      <c r="A60" s="10">
        <v>20.0</v>
      </c>
      <c r="B60" s="10">
        <v>1.4824387E7</v>
      </c>
      <c r="C60" s="10">
        <v>2.9648774E8</v>
      </c>
      <c r="D60" s="10">
        <v>400.0</v>
      </c>
      <c r="E60" s="11">
        <v>2.19762E19</v>
      </c>
      <c r="F60" s="10" t="s">
        <v>219</v>
      </c>
      <c r="G60" s="12">
        <v>3.079176728E9</v>
      </c>
      <c r="H60" s="11">
        <v>9.48133E17</v>
      </c>
      <c r="I60" s="13">
        <v>2.36634E20</v>
      </c>
    </row>
    <row r="61">
      <c r="A61" s="10">
        <v>54.0</v>
      </c>
      <c r="B61" s="10">
        <v>1.6132153E7</v>
      </c>
      <c r="C61" s="10">
        <v>8.71136262E8</v>
      </c>
      <c r="D61" s="10">
        <v>2916.0</v>
      </c>
      <c r="E61" s="11">
        <v>2.60246E19</v>
      </c>
      <c r="F61" s="10" t="s">
        <v>187</v>
      </c>
      <c r="G61" s="12">
        <v>4.054267692E9</v>
      </c>
      <c r="H61" s="11">
        <v>1.64371E18</v>
      </c>
      <c r="I61" s="13">
        <v>2.35686E20</v>
      </c>
    </row>
    <row r="62">
      <c r="A62" s="10">
        <v>49.0</v>
      </c>
      <c r="B62" s="10">
        <v>5756349.0</v>
      </c>
      <c r="C62" s="10">
        <v>2.82061101E8</v>
      </c>
      <c r="D62" s="10">
        <v>2401.0</v>
      </c>
      <c r="E62" s="11">
        <v>3.31356E18</v>
      </c>
      <c r="F62" s="10" t="s">
        <v>226</v>
      </c>
      <c r="G62" s="12">
        <v>-6.272613509E9</v>
      </c>
      <c r="H62" s="11">
        <v>3.93457E18</v>
      </c>
      <c r="I62" s="13">
        <v>2.34042E20</v>
      </c>
    </row>
    <row r="63">
      <c r="A63" s="10">
        <v>38.0</v>
      </c>
      <c r="B63" s="10">
        <v>5873589.0</v>
      </c>
      <c r="C63" s="10">
        <v>2.23196382E8</v>
      </c>
      <c r="D63" s="10">
        <v>1444.0</v>
      </c>
      <c r="E63" s="11">
        <v>3.4499E18</v>
      </c>
      <c r="F63" s="10" t="s">
        <v>210</v>
      </c>
      <c r="G63" s="10" t="s">
        <v>240</v>
      </c>
      <c r="H63" s="11">
        <v>3.65752E18</v>
      </c>
      <c r="I63" s="13">
        <v>2.30107E20</v>
      </c>
    </row>
    <row r="64">
      <c r="A64" s="10">
        <v>26.0</v>
      </c>
      <c r="B64" s="10">
        <v>3148508.0</v>
      </c>
      <c r="C64" s="10">
        <v>8.1861208E7</v>
      </c>
      <c r="D64" s="10">
        <v>676.0</v>
      </c>
      <c r="E64" s="11">
        <v>9.9131E17</v>
      </c>
      <c r="F64" s="10" t="s">
        <v>189</v>
      </c>
      <c r="G64" s="12">
        <v>-8.655409631E9</v>
      </c>
      <c r="H64" s="11">
        <v>7.49161E18</v>
      </c>
      <c r="I64" s="13">
        <v>2.2645E20</v>
      </c>
    </row>
    <row r="65">
      <c r="A65" s="10">
        <v>36.0</v>
      </c>
      <c r="B65" s="10">
        <v>1.353794E7</v>
      </c>
      <c r="C65" s="10">
        <v>4.8736584E8</v>
      </c>
      <c r="D65" s="10">
        <v>1296.0</v>
      </c>
      <c r="E65" s="11">
        <v>1.83276E19</v>
      </c>
      <c r="F65" s="10" t="s">
        <v>224</v>
      </c>
      <c r="G65" s="10" t="s">
        <v>241</v>
      </c>
      <c r="H65" s="11">
        <v>2.67707E17</v>
      </c>
      <c r="I65" s="13">
        <v>2.18958E20</v>
      </c>
    </row>
    <row r="66">
      <c r="A66" s="10">
        <v>35.0</v>
      </c>
      <c r="B66" s="10">
        <v>1.2252907E7</v>
      </c>
      <c r="C66" s="10">
        <v>4.28851745E8</v>
      </c>
      <c r="D66" s="10">
        <v>1225.0</v>
      </c>
      <c r="E66" s="11">
        <v>1.50134E19</v>
      </c>
      <c r="F66" s="10" t="s">
        <v>198</v>
      </c>
      <c r="G66" s="12">
        <v>3.609283297E9</v>
      </c>
      <c r="H66" s="11">
        <v>1.30269E16</v>
      </c>
      <c r="I66" s="13">
        <v>2.1869E20</v>
      </c>
    </row>
    <row r="67">
      <c r="A67" s="10">
        <v>45.0</v>
      </c>
      <c r="B67" s="10">
        <v>9362138.0</v>
      </c>
      <c r="C67" s="10">
        <v>4.2129621E8</v>
      </c>
      <c r="D67" s="10">
        <v>2025.0</v>
      </c>
      <c r="E67" s="11">
        <v>8.76496E18</v>
      </c>
      <c r="F67" s="10" t="s">
        <v>233</v>
      </c>
      <c r="G67" s="12">
        <v>-2.627686269E9</v>
      </c>
      <c r="H67" s="11">
        <v>6.90474E17</v>
      </c>
      <c r="I67" s="13">
        <v>2.18677E20</v>
      </c>
    </row>
    <row r="68">
      <c r="A68" s="10">
        <v>32.0</v>
      </c>
      <c r="B68" s="10">
        <v>6262952.0</v>
      </c>
      <c r="C68" s="10">
        <v>2.00414464E8</v>
      </c>
      <c r="D68" s="10">
        <v>1024.0</v>
      </c>
      <c r="E68" s="11">
        <v>3.92246E18</v>
      </c>
      <c r="F68" s="10" t="s">
        <v>242</v>
      </c>
      <c r="G68" s="12">
        <v>-5.599672991E9</v>
      </c>
      <c r="H68" s="11">
        <v>3.13563E18</v>
      </c>
      <c r="I68" s="13">
        <v>2.17987E20</v>
      </c>
    </row>
    <row r="69">
      <c r="A69" s="10">
        <v>46.0</v>
      </c>
      <c r="B69" s="10">
        <v>1.0023859E7</v>
      </c>
      <c r="C69" s="10">
        <v>4.61097514E8</v>
      </c>
      <c r="D69" s="10">
        <v>2116.0</v>
      </c>
      <c r="E69" s="11">
        <v>1.00478E19</v>
      </c>
      <c r="F69" s="10" t="s">
        <v>234</v>
      </c>
      <c r="G69" s="12">
        <v>-1.975749829E9</v>
      </c>
      <c r="H69" s="11">
        <v>3.90359E17</v>
      </c>
      <c r="I69" s="13">
        <v>2.14851E20</v>
      </c>
    </row>
    <row r="70">
      <c r="A70" s="10">
        <v>33.0</v>
      </c>
      <c r="B70" s="10">
        <v>9354913.0</v>
      </c>
      <c r="C70" s="10">
        <v>3.08712129E8</v>
      </c>
      <c r="D70" s="10">
        <v>1089.0</v>
      </c>
      <c r="E70" s="11">
        <v>8.75144E18</v>
      </c>
      <c r="F70" s="10" t="s">
        <v>243</v>
      </c>
      <c r="G70" s="12">
        <v>-2.517496551E9</v>
      </c>
      <c r="H70" s="11">
        <v>6.33779E17</v>
      </c>
      <c r="I70" s="13">
        <v>2.14461E20</v>
      </c>
    </row>
    <row r="71">
      <c r="A71" s="10">
        <v>23.0</v>
      </c>
      <c r="B71" s="10">
        <v>1.9266307E7</v>
      </c>
      <c r="C71" s="10">
        <v>4.43125061E8</v>
      </c>
      <c r="D71" s="10">
        <v>529.0</v>
      </c>
      <c r="E71" s="11">
        <v>3.71191E19</v>
      </c>
      <c r="F71" s="10" t="s">
        <v>191</v>
      </c>
      <c r="G71" s="12">
        <v>7.491743048E9</v>
      </c>
      <c r="H71" s="11">
        <v>5.61262E18</v>
      </c>
      <c r="I71" s="13">
        <v>2.13827E20</v>
      </c>
    </row>
    <row r="72">
      <c r="A72" s="10">
        <v>45.0</v>
      </c>
      <c r="B72" s="10">
        <v>1.0712096E7</v>
      </c>
      <c r="C72" s="10">
        <v>4.8204432E8</v>
      </c>
      <c r="D72" s="10">
        <v>2025.0</v>
      </c>
      <c r="E72" s="11">
        <v>1.14749E19</v>
      </c>
      <c r="F72" s="10" t="s">
        <v>233</v>
      </c>
      <c r="G72" s="12">
        <v>-1.277728269E9</v>
      </c>
      <c r="H72" s="11">
        <v>1.63259E17</v>
      </c>
      <c r="I72" s="13">
        <v>2.08215E20</v>
      </c>
    </row>
    <row r="73">
      <c r="A73" s="10">
        <v>26.0</v>
      </c>
      <c r="B73" s="10">
        <v>3446580.0</v>
      </c>
      <c r="C73" s="10">
        <v>8.961108E7</v>
      </c>
      <c r="D73" s="10">
        <v>676.0</v>
      </c>
      <c r="E73" s="11">
        <v>1.18789E18</v>
      </c>
      <c r="F73" s="10" t="s">
        <v>189</v>
      </c>
      <c r="G73" s="12">
        <v>-8.357337631E9</v>
      </c>
      <c r="H73" s="11">
        <v>6.98451E18</v>
      </c>
      <c r="I73" s="13">
        <v>2.08051E20</v>
      </c>
    </row>
    <row r="74">
      <c r="A74" s="10">
        <v>48.0</v>
      </c>
      <c r="B74" s="10">
        <v>1.2967112E7</v>
      </c>
      <c r="C74" s="10">
        <v>6.22421376E8</v>
      </c>
      <c r="D74" s="10">
        <v>2304.0</v>
      </c>
      <c r="E74" s="11">
        <v>1.68146E19</v>
      </c>
      <c r="F74" s="10" t="s">
        <v>208</v>
      </c>
      <c r="G74" s="12">
        <v>9.479340513E9</v>
      </c>
      <c r="H74" s="11">
        <v>8.98579E16</v>
      </c>
      <c r="I74" s="13">
        <v>2.01067E20</v>
      </c>
    </row>
    <row r="75">
      <c r="A75" s="10">
        <v>30.0</v>
      </c>
      <c r="B75" s="10">
        <v>9920843.0</v>
      </c>
      <c r="C75" s="10">
        <v>2.9762529E8</v>
      </c>
      <c r="D75" s="10">
        <v>900.0</v>
      </c>
      <c r="E75" s="11">
        <v>9.84231E18</v>
      </c>
      <c r="F75" s="10" t="s">
        <v>244</v>
      </c>
      <c r="G75" s="12">
        <v>-1.922212871E9</v>
      </c>
      <c r="H75" s="11">
        <v>3.6949E17</v>
      </c>
      <c r="I75" s="13">
        <v>2.00977E20</v>
      </c>
    </row>
    <row r="76">
      <c r="A76" s="10">
        <v>34.0</v>
      </c>
      <c r="B76" s="10">
        <v>7734185.0</v>
      </c>
      <c r="C76" s="10">
        <v>2.6296229E8</v>
      </c>
      <c r="D76" s="10">
        <v>1156.0</v>
      </c>
      <c r="E76" s="11">
        <v>5.98176E18</v>
      </c>
      <c r="F76" s="10" t="s">
        <v>228</v>
      </c>
      <c r="G76" s="10" t="s">
        <v>245</v>
      </c>
      <c r="H76" s="11">
        <v>1.7206E18</v>
      </c>
      <c r="I76" s="13">
        <v>2.00607E20</v>
      </c>
    </row>
    <row r="77">
      <c r="A77" s="10">
        <v>37.0</v>
      </c>
      <c r="B77" s="10">
        <v>5968085.0</v>
      </c>
      <c r="C77" s="10">
        <v>2.20819145E8</v>
      </c>
      <c r="D77" s="10">
        <v>1369.0</v>
      </c>
      <c r="E77" s="11">
        <v>3.5618E18</v>
      </c>
      <c r="F77" s="10" t="s">
        <v>181</v>
      </c>
      <c r="G77" s="10" t="s">
        <v>246</v>
      </c>
      <c r="H77" s="11">
        <v>3.53247E18</v>
      </c>
      <c r="I77" s="13">
        <v>1.98887E20</v>
      </c>
    </row>
    <row r="78">
      <c r="A78" s="10">
        <v>58.0</v>
      </c>
      <c r="B78" s="10">
        <v>1.1892944E7</v>
      </c>
      <c r="C78" s="10">
        <v>6.89790752E8</v>
      </c>
      <c r="D78" s="10">
        <v>3364.0</v>
      </c>
      <c r="E78" s="11">
        <v>1.41442E19</v>
      </c>
      <c r="F78" s="10" t="s">
        <v>222</v>
      </c>
      <c r="G78" s="12">
        <v>-2.240795475E9</v>
      </c>
      <c r="H78" s="11">
        <v>5.02116E15</v>
      </c>
      <c r="I78" s="13">
        <v>1.95354E20</v>
      </c>
    </row>
    <row r="79">
      <c r="A79" s="10">
        <v>20.0</v>
      </c>
      <c r="B79" s="10">
        <v>1.8308491E7</v>
      </c>
      <c r="C79" s="10">
        <v>3.6616982E8</v>
      </c>
      <c r="D79" s="10">
        <v>400.0</v>
      </c>
      <c r="E79" s="11">
        <v>3.35201E19</v>
      </c>
      <c r="F79" s="10" t="s">
        <v>219</v>
      </c>
      <c r="G79" s="12">
        <v>6.563280728E9</v>
      </c>
      <c r="H79" s="11">
        <v>4.30767E18</v>
      </c>
      <c r="I79" s="13">
        <v>1.95349E20</v>
      </c>
    </row>
    <row r="80">
      <c r="A80" s="10">
        <v>43.0</v>
      </c>
      <c r="B80" s="10">
        <v>8342007.0</v>
      </c>
      <c r="C80" s="10">
        <v>3.58706301E8</v>
      </c>
      <c r="D80" s="10">
        <v>1849.0</v>
      </c>
      <c r="E80" s="11">
        <v>6.95891E18</v>
      </c>
      <c r="F80" s="10" t="s">
        <v>247</v>
      </c>
      <c r="G80" s="12">
        <v>-3.628248149E9</v>
      </c>
      <c r="H80" s="11">
        <v>1.31642E18</v>
      </c>
      <c r="I80" s="13">
        <v>1.91042E20</v>
      </c>
    </row>
    <row r="81">
      <c r="A81" s="10">
        <v>29.0</v>
      </c>
      <c r="B81" s="10">
        <v>1.3934208E7</v>
      </c>
      <c r="C81" s="10">
        <v>4.04092032E8</v>
      </c>
      <c r="D81" s="10">
        <v>841.0</v>
      </c>
      <c r="E81" s="11">
        <v>1.94162E19</v>
      </c>
      <c r="F81" s="10" t="s">
        <v>206</v>
      </c>
      <c r="G81" s="12">
        <v>2.100936689E9</v>
      </c>
      <c r="H81" s="11">
        <v>4.41393E17</v>
      </c>
      <c r="I81" s="13">
        <v>1.89725E20</v>
      </c>
    </row>
    <row r="82">
      <c r="A82" s="10">
        <v>22.0</v>
      </c>
      <c r="B82" s="10">
        <v>1.0759064E7</v>
      </c>
      <c r="C82" s="10">
        <v>2.36699408E8</v>
      </c>
      <c r="D82" s="10">
        <v>484.0</v>
      </c>
      <c r="E82" s="11">
        <v>1.15757E19</v>
      </c>
      <c r="F82" s="10" t="s">
        <v>238</v>
      </c>
      <c r="G82" s="12">
        <v>-1.005715392E9</v>
      </c>
      <c r="H82" s="11">
        <v>1.01146E17</v>
      </c>
      <c r="I82" s="13">
        <v>1.89284E20</v>
      </c>
    </row>
    <row r="83">
      <c r="A83" s="10">
        <v>51.0</v>
      </c>
      <c r="B83" s="10">
        <v>1.1642087E7</v>
      </c>
      <c r="C83" s="10">
        <v>5.93746437E8</v>
      </c>
      <c r="D83" s="10">
        <v>2601.0</v>
      </c>
      <c r="E83" s="11">
        <v>1.35538E19</v>
      </c>
      <c r="F83" s="10" t="s">
        <v>178</v>
      </c>
      <c r="G83" s="12">
        <v>-4.064446283E9</v>
      </c>
      <c r="H83" s="11">
        <v>1.65197E16</v>
      </c>
      <c r="I83" s="13">
        <v>1.89183E20</v>
      </c>
    </row>
    <row r="84">
      <c r="A84" s="10">
        <v>58.0</v>
      </c>
      <c r="B84" s="10">
        <v>1.9362393E7</v>
      </c>
      <c r="C84" s="10">
        <v>1.123018794E9</v>
      </c>
      <c r="D84" s="10">
        <v>3364.0</v>
      </c>
      <c r="E84" s="11">
        <v>3.74902E19</v>
      </c>
      <c r="F84" s="10" t="s">
        <v>222</v>
      </c>
      <c r="G84" s="12">
        <v>7.245369453E9</v>
      </c>
      <c r="H84" s="11">
        <v>5.24954E18</v>
      </c>
      <c r="I84" s="13">
        <v>1.89166E20</v>
      </c>
    </row>
    <row r="85">
      <c r="A85" s="10">
        <v>28.0</v>
      </c>
      <c r="B85" s="10">
        <v>1.7826375E7</v>
      </c>
      <c r="C85" s="10">
        <v>4.991385E8</v>
      </c>
      <c r="D85" s="10">
        <v>784.0</v>
      </c>
      <c r="E85" s="11">
        <v>3.1778E19</v>
      </c>
      <c r="F85" s="10" t="s">
        <v>248</v>
      </c>
      <c r="G85" s="12">
        <v>6.002888249E9</v>
      </c>
      <c r="H85" s="11">
        <v>3.60347E18</v>
      </c>
      <c r="I85" s="13">
        <v>1.83917E20</v>
      </c>
    </row>
    <row r="86">
      <c r="A86" s="10">
        <v>50.0</v>
      </c>
      <c r="B86" s="10">
        <v>6557817.0</v>
      </c>
      <c r="C86" s="10">
        <v>3.2789085E8</v>
      </c>
      <c r="D86" s="10">
        <v>2500.0</v>
      </c>
      <c r="E86" s="11">
        <v>4.3005E18</v>
      </c>
      <c r="F86" s="10" t="s">
        <v>223</v>
      </c>
      <c r="G86" s="12">
        <v>-5.480930068E9</v>
      </c>
      <c r="H86" s="11">
        <v>3.00406E18</v>
      </c>
      <c r="I86" s="13">
        <v>1.80313E20</v>
      </c>
    </row>
    <row r="87">
      <c r="A87" s="10">
        <v>19.0</v>
      </c>
      <c r="B87" s="10">
        <v>7608920.0</v>
      </c>
      <c r="C87" s="10">
        <v>1.4456948E8</v>
      </c>
      <c r="D87" s="10">
        <v>361.0</v>
      </c>
      <c r="E87" s="11">
        <v>5.78957E18</v>
      </c>
      <c r="F87" s="10" t="s">
        <v>215</v>
      </c>
      <c r="G87" s="12">
        <v>-4.126505712E9</v>
      </c>
      <c r="H87" s="11">
        <v>1.7028E18</v>
      </c>
      <c r="I87" s="13">
        <v>1.77309E20</v>
      </c>
    </row>
    <row r="88">
      <c r="A88" s="10">
        <v>41.0</v>
      </c>
      <c r="B88" s="10">
        <v>5344402.0</v>
      </c>
      <c r="C88" s="10">
        <v>2.19120482E8</v>
      </c>
      <c r="D88" s="10">
        <v>1681.0</v>
      </c>
      <c r="E88" s="11">
        <v>2.85626E18</v>
      </c>
      <c r="F88" s="10" t="s">
        <v>249</v>
      </c>
      <c r="G88" s="10" t="s">
        <v>250</v>
      </c>
      <c r="H88" s="11">
        <v>4.3643E18</v>
      </c>
      <c r="I88" s="13">
        <v>1.75606E20</v>
      </c>
    </row>
    <row r="89">
      <c r="A89" s="10">
        <v>57.0</v>
      </c>
      <c r="B89" s="10">
        <v>1.6360831E7</v>
      </c>
      <c r="C89" s="10">
        <v>9.32567367E8</v>
      </c>
      <c r="D89" s="10">
        <v>3249.0</v>
      </c>
      <c r="E89" s="11">
        <v>2.67677E19</v>
      </c>
      <c r="F89" s="10" t="s">
        <v>251</v>
      </c>
      <c r="G89" s="12">
        <v>4.253592012E9</v>
      </c>
      <c r="H89" s="11">
        <v>1.8093E18</v>
      </c>
      <c r="I89" s="13">
        <v>1.71242E20</v>
      </c>
    </row>
    <row r="90">
      <c r="A90" s="10">
        <v>33.0</v>
      </c>
      <c r="B90" s="10">
        <v>9665097.0</v>
      </c>
      <c r="C90" s="10">
        <v>3.18948201E8</v>
      </c>
      <c r="D90" s="10">
        <v>1089.0</v>
      </c>
      <c r="E90" s="11">
        <v>9.34141E18</v>
      </c>
      <c r="F90" s="10" t="s">
        <v>243</v>
      </c>
      <c r="G90" s="12">
        <v>-2.207312551E9</v>
      </c>
      <c r="H90" s="11">
        <v>4.87223E17</v>
      </c>
      <c r="I90" s="13">
        <v>1.69433E20</v>
      </c>
    </row>
    <row r="91">
      <c r="A91" s="10">
        <v>20.0</v>
      </c>
      <c r="B91" s="10">
        <v>1.7712644E7</v>
      </c>
      <c r="C91" s="10">
        <v>3.5425288E8</v>
      </c>
      <c r="D91" s="10">
        <v>400.0</v>
      </c>
      <c r="E91" s="11">
        <v>3.13738E19</v>
      </c>
      <c r="F91" s="10" t="s">
        <v>219</v>
      </c>
      <c r="G91" s="12">
        <v>5.967433728E9</v>
      </c>
      <c r="H91" s="11">
        <v>3.56103E18</v>
      </c>
      <c r="I91" s="13">
        <v>1.68945E20</v>
      </c>
    </row>
    <row r="92">
      <c r="A92" s="10">
        <v>29.0</v>
      </c>
      <c r="B92" s="10">
        <v>1.2810374E7</v>
      </c>
      <c r="C92" s="10">
        <v>3.71500846E8</v>
      </c>
      <c r="D92" s="10">
        <v>841.0</v>
      </c>
      <c r="E92" s="11">
        <v>1.64106E19</v>
      </c>
      <c r="F92" s="10" t="s">
        <v>206</v>
      </c>
      <c r="G92" s="12">
        <v>9.77102689E8</v>
      </c>
      <c r="H92" s="11">
        <v>9.5473E16</v>
      </c>
      <c r="I92" s="13">
        <v>1.65384E20</v>
      </c>
    </row>
    <row r="93">
      <c r="A93" s="10">
        <v>30.0</v>
      </c>
      <c r="B93" s="10">
        <v>1.5296892E7</v>
      </c>
      <c r="C93" s="10">
        <v>4.5890676E8</v>
      </c>
      <c r="D93" s="10">
        <v>900.0</v>
      </c>
      <c r="E93" s="11">
        <v>2.33995E19</v>
      </c>
      <c r="F93" s="10" t="s">
        <v>244</v>
      </c>
      <c r="G93" s="12">
        <v>3.453836129E9</v>
      </c>
      <c r="H93" s="11">
        <v>1.1929E18</v>
      </c>
      <c r="I93" s="13">
        <v>1.65289E20</v>
      </c>
    </row>
    <row r="94">
      <c r="A94" s="10">
        <v>21.0</v>
      </c>
      <c r="B94" s="10">
        <v>3459770.0</v>
      </c>
      <c r="C94" s="10">
        <v>7.265517E7</v>
      </c>
      <c r="D94" s="10">
        <v>441.0</v>
      </c>
      <c r="E94" s="11">
        <v>1.197E18</v>
      </c>
      <c r="F94" s="10" t="s">
        <v>204</v>
      </c>
      <c r="G94" s="12">
        <v>-8.295224832E9</v>
      </c>
      <c r="H94" s="11">
        <v>6.88108E18</v>
      </c>
      <c r="I94" s="13">
        <v>1.64096E20</v>
      </c>
    </row>
    <row r="95">
      <c r="A95" s="10">
        <v>54.0</v>
      </c>
      <c r="B95" s="10">
        <v>2.0E7</v>
      </c>
      <c r="C95" s="10">
        <v>1.08E9</v>
      </c>
      <c r="D95" s="10">
        <v>2916.0</v>
      </c>
      <c r="E95" s="11">
        <v>4.0E19</v>
      </c>
      <c r="F95" s="10" t="s">
        <v>187</v>
      </c>
      <c r="G95" s="12">
        <v>7.922114692E9</v>
      </c>
      <c r="H95" s="11">
        <v>6.27599E18</v>
      </c>
      <c r="I95" s="13">
        <v>1.57215E20</v>
      </c>
    </row>
    <row r="96">
      <c r="A96" s="10">
        <v>50.0</v>
      </c>
      <c r="B96" s="10">
        <v>7709702.0</v>
      </c>
      <c r="C96" s="10">
        <v>3.854851E8</v>
      </c>
      <c r="D96" s="10">
        <v>2500.0</v>
      </c>
      <c r="E96" s="11">
        <v>5.94395E18</v>
      </c>
      <c r="F96" s="10" t="s">
        <v>223</v>
      </c>
      <c r="G96" s="12">
        <v>-4.329045068E9</v>
      </c>
      <c r="H96" s="11">
        <v>1.87406E18</v>
      </c>
      <c r="I96" s="13">
        <v>1.50939E20</v>
      </c>
    </row>
    <row r="97">
      <c r="A97" s="10">
        <v>22.0</v>
      </c>
      <c r="B97" s="10">
        <v>1.2408194E7</v>
      </c>
      <c r="C97" s="10">
        <v>2.72980268E8</v>
      </c>
      <c r="D97" s="10">
        <v>484.0</v>
      </c>
      <c r="E97" s="11">
        <v>1.53963E19</v>
      </c>
      <c r="F97" s="10" t="s">
        <v>238</v>
      </c>
      <c r="G97" s="12">
        <v>6.434146082E9</v>
      </c>
      <c r="H97" s="11">
        <v>4.13982E16</v>
      </c>
      <c r="I97" s="13">
        <v>1.49065E20</v>
      </c>
    </row>
    <row r="98">
      <c r="A98" s="10">
        <v>51.0</v>
      </c>
      <c r="B98" s="10">
        <v>1.6991685E7</v>
      </c>
      <c r="C98" s="10">
        <v>8.66575935E8</v>
      </c>
      <c r="D98" s="10">
        <v>2601.0</v>
      </c>
      <c r="E98" s="11">
        <v>2.88717E19</v>
      </c>
      <c r="F98" s="10" t="s">
        <v>178</v>
      </c>
      <c r="G98" s="12">
        <v>4.943153372E9</v>
      </c>
      <c r="H98" s="11">
        <v>2.44348E18</v>
      </c>
      <c r="I98" s="13">
        <v>1.49024E20</v>
      </c>
    </row>
    <row r="99">
      <c r="A99" s="10">
        <v>36.0</v>
      </c>
      <c r="B99" s="10">
        <v>5437962.0</v>
      </c>
      <c r="C99" s="10">
        <v>1.95766632E8</v>
      </c>
      <c r="D99" s="10">
        <v>1296.0</v>
      </c>
      <c r="E99" s="11">
        <v>2.95714E18</v>
      </c>
      <c r="F99" s="10" t="s">
        <v>224</v>
      </c>
      <c r="G99" s="10" t="s">
        <v>252</v>
      </c>
      <c r="H99" s="11">
        <v>4.17807E18</v>
      </c>
      <c r="I99" s="13">
        <v>1.4658E20</v>
      </c>
    </row>
    <row r="100">
      <c r="A100" s="10">
        <v>49.0</v>
      </c>
      <c r="B100" s="10">
        <v>1.9426187E7</v>
      </c>
      <c r="C100" s="10">
        <v>9.51883163E8</v>
      </c>
      <c r="D100" s="10">
        <v>2401.0</v>
      </c>
      <c r="E100" s="11">
        <v>3.77377E19</v>
      </c>
      <c r="F100" s="10" t="s">
        <v>226</v>
      </c>
      <c r="G100" s="12">
        <v>7.397224491E9</v>
      </c>
      <c r="H100" s="11">
        <v>5.47189E18</v>
      </c>
      <c r="I100" s="13">
        <v>1.42402E20</v>
      </c>
    </row>
    <row r="101">
      <c r="A101" s="10">
        <v>48.0</v>
      </c>
      <c r="B101" s="10">
        <v>1.3196181E7</v>
      </c>
      <c r="C101" s="10">
        <v>6.33416688E8</v>
      </c>
      <c r="D101" s="10">
        <v>2304.0</v>
      </c>
      <c r="E101" s="11">
        <v>1.74139E19</v>
      </c>
      <c r="F101" s="10" t="s">
        <v>208</v>
      </c>
      <c r="G101" s="12">
        <v>1.177003051E9</v>
      </c>
      <c r="H101" s="11">
        <v>1.38534E17</v>
      </c>
      <c r="I101" s="13">
        <v>1.3693E20</v>
      </c>
    </row>
    <row r="102">
      <c r="A102" s="10">
        <v>40.0</v>
      </c>
      <c r="B102" s="10">
        <v>1.7592168E7</v>
      </c>
      <c r="C102" s="10">
        <v>7.0368672E8</v>
      </c>
      <c r="D102" s="10">
        <v>1600.0</v>
      </c>
      <c r="E102" s="11">
        <v>3.09484E19</v>
      </c>
      <c r="F102" s="10" t="s">
        <v>253</v>
      </c>
      <c r="G102" s="10" t="s">
        <v>254</v>
      </c>
      <c r="H102" s="11">
        <v>3.19368E18</v>
      </c>
      <c r="I102" s="13">
        <v>1.36792E20</v>
      </c>
    </row>
    <row r="103">
      <c r="A103" s="10">
        <v>52.0</v>
      </c>
      <c r="B103" s="10">
        <v>1.8206488E7</v>
      </c>
      <c r="C103" s="10">
        <v>9.46737376E8</v>
      </c>
      <c r="D103" s="10">
        <v>2704.0</v>
      </c>
      <c r="E103" s="11">
        <v>3.31476E19</v>
      </c>
      <c r="F103" s="10" t="s">
        <v>230</v>
      </c>
      <c r="G103" s="12">
        <v>6.148171812E9</v>
      </c>
      <c r="H103" s="11">
        <v>3.78E18</v>
      </c>
      <c r="I103" s="13">
        <v>1.33598E20</v>
      </c>
    </row>
    <row r="104">
      <c r="A104" s="10">
        <v>18.0</v>
      </c>
      <c r="B104" s="10">
        <v>3608061.0</v>
      </c>
      <c r="C104" s="10">
        <v>6.4945098E7</v>
      </c>
      <c r="D104" s="10">
        <v>324.0</v>
      </c>
      <c r="E104" s="11">
        <v>1.30181E18</v>
      </c>
      <c r="F104" s="10" t="s">
        <v>213</v>
      </c>
      <c r="G104" s="12">
        <v>-8.117580152E9</v>
      </c>
      <c r="H104" s="11">
        <v>6.58951E18</v>
      </c>
      <c r="I104" s="13">
        <v>1.29818E20</v>
      </c>
    </row>
    <row r="105">
      <c r="A105" s="10">
        <v>22.0</v>
      </c>
      <c r="B105" s="10">
        <v>3787554.0</v>
      </c>
      <c r="C105" s="10">
        <v>8.3326188E7</v>
      </c>
      <c r="D105" s="10">
        <v>484.0</v>
      </c>
      <c r="E105" s="11">
        <v>1.43456E18</v>
      </c>
      <c r="F105" s="10" t="s">
        <v>238</v>
      </c>
      <c r="G105" s="12">
        <v>-7.977225392E9</v>
      </c>
      <c r="H105" s="11">
        <v>6.36361E18</v>
      </c>
      <c r="I105" s="13">
        <v>1.23228E20</v>
      </c>
    </row>
    <row r="106">
      <c r="A106" s="10">
        <v>37.0</v>
      </c>
      <c r="B106" s="10">
        <v>8292937.0</v>
      </c>
      <c r="C106" s="10">
        <v>3.06838669E8</v>
      </c>
      <c r="D106" s="10">
        <v>1369.0</v>
      </c>
      <c r="E106" s="11">
        <v>6.87728E18</v>
      </c>
      <c r="F106" s="10" t="s">
        <v>181</v>
      </c>
      <c r="G106" s="10" t="s">
        <v>255</v>
      </c>
      <c r="H106" s="11">
        <v>1.30943E18</v>
      </c>
      <c r="I106" s="13">
        <v>1.16865E20</v>
      </c>
    </row>
    <row r="107">
      <c r="A107" s="10">
        <v>24.0</v>
      </c>
      <c r="B107" s="10">
        <v>6863134.0</v>
      </c>
      <c r="C107" s="10">
        <v>1.64715216E8</v>
      </c>
      <c r="D107" s="10">
        <v>576.0</v>
      </c>
      <c r="E107" s="11">
        <v>4.71026E18</v>
      </c>
      <c r="F107" s="10" t="s">
        <v>201</v>
      </c>
      <c r="G107" s="12">
        <v>-4.921214512E9</v>
      </c>
      <c r="H107" s="11">
        <v>2.42184E18</v>
      </c>
      <c r="I107" s="13">
        <v>1.15555E20</v>
      </c>
    </row>
    <row r="108">
      <c r="A108" s="10">
        <v>33.0</v>
      </c>
      <c r="B108" s="10">
        <v>1.6826711E7</v>
      </c>
      <c r="C108" s="10">
        <v>5.55281463E8</v>
      </c>
      <c r="D108" s="10">
        <v>1089.0</v>
      </c>
      <c r="E108" s="11">
        <v>2.83138E19</v>
      </c>
      <c r="F108" s="10" t="s">
        <v>243</v>
      </c>
      <c r="G108" s="12">
        <v>4.954301449E9</v>
      </c>
      <c r="H108" s="11">
        <v>2.45451E18</v>
      </c>
      <c r="I108" s="13">
        <v>1.13133E20</v>
      </c>
    </row>
    <row r="109">
      <c r="A109" s="10">
        <v>56.0</v>
      </c>
      <c r="B109" s="10">
        <v>4345778.0</v>
      </c>
      <c r="C109" s="10">
        <v>2.43363568E8</v>
      </c>
      <c r="D109" s="10">
        <v>3136.0</v>
      </c>
      <c r="E109" s="11">
        <v>1.88858E18</v>
      </c>
      <c r="F109" s="10" t="s">
        <v>218</v>
      </c>
      <c r="G109" s="12">
        <v>-7.751676428E9</v>
      </c>
      <c r="H109" s="11">
        <v>6.00885E18</v>
      </c>
      <c r="I109" s="13">
        <v>1.10679E20</v>
      </c>
    </row>
    <row r="110">
      <c r="A110" s="10">
        <v>35.0</v>
      </c>
      <c r="B110" s="10">
        <v>1.3609354E7</v>
      </c>
      <c r="C110" s="10">
        <v>4.7632739E8</v>
      </c>
      <c r="D110" s="10">
        <v>1225.0</v>
      </c>
      <c r="E110" s="11">
        <v>1.85215E19</v>
      </c>
      <c r="F110" s="10" t="s">
        <v>198</v>
      </c>
      <c r="G110" s="10" t="s">
        <v>256</v>
      </c>
      <c r="H110" s="11">
        <v>2.94938E17</v>
      </c>
      <c r="I110" s="13">
        <v>1.0467E20</v>
      </c>
    </row>
    <row r="111">
      <c r="A111" s="10">
        <v>48.0</v>
      </c>
      <c r="B111" s="10">
        <v>4880950.0</v>
      </c>
      <c r="C111" s="10">
        <v>2.342856E8</v>
      </c>
      <c r="D111" s="10">
        <v>2304.0</v>
      </c>
      <c r="E111" s="11">
        <v>2.38237E18</v>
      </c>
      <c r="F111" s="10" t="s">
        <v>208</v>
      </c>
      <c r="G111" s="12">
        <v>-7.138227949E9</v>
      </c>
      <c r="H111" s="11">
        <v>5.09543E18</v>
      </c>
      <c r="I111" s="13">
        <v>1.04375E20</v>
      </c>
    </row>
    <row r="112">
      <c r="A112" s="10">
        <v>49.0</v>
      </c>
      <c r="B112" s="10">
        <v>1.3180447E7</v>
      </c>
      <c r="C112" s="10">
        <v>6.45841903E8</v>
      </c>
      <c r="D112" s="10">
        <v>2401.0</v>
      </c>
      <c r="E112" s="11">
        <v>1.73724E19</v>
      </c>
      <c r="F112" s="10" t="s">
        <v>226</v>
      </c>
      <c r="G112" s="12">
        <v>1.151484491E9</v>
      </c>
      <c r="H112" s="11">
        <v>1.32592E17</v>
      </c>
      <c r="I112" s="13">
        <v>9.92798E19</v>
      </c>
    </row>
    <row r="113">
      <c r="A113" s="10">
        <v>32.0</v>
      </c>
      <c r="B113" s="10">
        <v>8504179.0</v>
      </c>
      <c r="C113" s="10">
        <v>2.72133728E8</v>
      </c>
      <c r="D113" s="10">
        <v>1024.0</v>
      </c>
      <c r="E113" s="11">
        <v>7.23211E18</v>
      </c>
      <c r="F113" s="10" t="s">
        <v>242</v>
      </c>
      <c r="G113" s="12">
        <v>-3.358445991E9</v>
      </c>
      <c r="H113" s="11">
        <v>1.12792E18</v>
      </c>
      <c r="I113" s="13">
        <v>9.91472E19</v>
      </c>
    </row>
    <row r="114">
      <c r="A114" s="10">
        <v>39.0</v>
      </c>
      <c r="B114" s="10">
        <v>1.4324301E7</v>
      </c>
      <c r="C114" s="10">
        <v>5.58647739E8</v>
      </c>
      <c r="D114" s="10">
        <v>1521.0</v>
      </c>
      <c r="E114" s="11">
        <v>2.05186E19</v>
      </c>
      <c r="F114" s="10" t="s">
        <v>257</v>
      </c>
      <c r="G114" s="10" t="s">
        <v>258</v>
      </c>
      <c r="H114" s="11">
        <v>5.72733E17</v>
      </c>
      <c r="I114" s="13">
        <v>9.80193E19</v>
      </c>
    </row>
    <row r="115">
      <c r="A115" s="10">
        <v>53.0</v>
      </c>
      <c r="B115" s="10">
        <v>4543805.0</v>
      </c>
      <c r="C115" s="10">
        <v>2.40821665E8</v>
      </c>
      <c r="D115" s="10">
        <v>2809.0</v>
      </c>
      <c r="E115" s="11">
        <v>2.06462E18</v>
      </c>
      <c r="F115" s="10" t="s">
        <v>237</v>
      </c>
      <c r="G115" s="12">
        <v>-7.524295748E9</v>
      </c>
      <c r="H115" s="11">
        <v>5.6615E18</v>
      </c>
      <c r="I115" s="13">
        <v>9.74465E19</v>
      </c>
    </row>
    <row r="116">
      <c r="A116" s="10">
        <v>55.0</v>
      </c>
      <c r="B116" s="10">
        <v>1.3042747E7</v>
      </c>
      <c r="C116" s="10">
        <v>7.17351085E8</v>
      </c>
      <c r="D116" s="10">
        <v>3025.0</v>
      </c>
      <c r="E116" s="11">
        <v>1.70113E19</v>
      </c>
      <c r="F116" s="10" t="s">
        <v>232</v>
      </c>
      <c r="G116" s="12">
        <v>9.550771321E9</v>
      </c>
      <c r="H116" s="11">
        <v>9.12172E16</v>
      </c>
      <c r="I116" s="13">
        <v>9.1785E19</v>
      </c>
    </row>
    <row r="117">
      <c r="A117" s="10">
        <v>21.0</v>
      </c>
      <c r="B117" s="10">
        <v>1.2767781E7</v>
      </c>
      <c r="C117" s="10">
        <v>2.68123401E8</v>
      </c>
      <c r="D117" s="10">
        <v>441.0</v>
      </c>
      <c r="E117" s="11">
        <v>1.63016E19</v>
      </c>
      <c r="F117" s="10" t="s">
        <v>204</v>
      </c>
      <c r="G117" s="12">
        <v>1.012786168E9</v>
      </c>
      <c r="H117" s="11">
        <v>1.02574E17</v>
      </c>
      <c r="I117" s="13">
        <v>9.16938E19</v>
      </c>
    </row>
    <row r="118">
      <c r="A118" s="10">
        <v>33.0</v>
      </c>
      <c r="B118" s="10">
        <v>1.6172839E7</v>
      </c>
      <c r="C118" s="10">
        <v>5.33703687E8</v>
      </c>
      <c r="D118" s="10">
        <v>1089.0</v>
      </c>
      <c r="E118" s="11">
        <v>2.61561E19</v>
      </c>
      <c r="F118" s="10" t="s">
        <v>243</v>
      </c>
      <c r="G118" s="12">
        <v>4.300429449E9</v>
      </c>
      <c r="H118" s="11">
        <v>1.84937E18</v>
      </c>
      <c r="I118" s="13">
        <v>9.15912E19</v>
      </c>
    </row>
    <row r="119">
      <c r="A119" s="10">
        <v>22.0</v>
      </c>
      <c r="B119" s="10">
        <v>9220515.0</v>
      </c>
      <c r="C119" s="10">
        <v>2.0285133E8</v>
      </c>
      <c r="D119" s="10">
        <v>484.0</v>
      </c>
      <c r="E119" s="11">
        <v>8.50179E18</v>
      </c>
      <c r="F119" s="10" t="s">
        <v>238</v>
      </c>
      <c r="G119" s="12">
        <v>-2.544264392E9</v>
      </c>
      <c r="H119" s="11">
        <v>6.47328E17</v>
      </c>
      <c r="I119" s="13">
        <v>8.97419E19</v>
      </c>
    </row>
    <row r="120">
      <c r="A120" s="10">
        <v>55.0</v>
      </c>
      <c r="B120" s="10">
        <v>5257395.0</v>
      </c>
      <c r="C120" s="10">
        <v>2.89156725E8</v>
      </c>
      <c r="D120" s="10">
        <v>3025.0</v>
      </c>
      <c r="E120" s="11">
        <v>2.76402E18</v>
      </c>
      <c r="F120" s="10" t="s">
        <v>232</v>
      </c>
      <c r="G120" s="12">
        <v>-6.830274868E9</v>
      </c>
      <c r="H120" s="11">
        <v>4.66527E18</v>
      </c>
      <c r="I120" s="13">
        <v>8.90945E19</v>
      </c>
    </row>
    <row r="121">
      <c r="A121" s="10">
        <v>31.0</v>
      </c>
      <c r="B121" s="10">
        <v>7420845.0</v>
      </c>
      <c r="C121" s="10">
        <v>2.30046195E8</v>
      </c>
      <c r="D121" s="10">
        <v>961.0</v>
      </c>
      <c r="E121" s="11">
        <v>5.50689E18</v>
      </c>
      <c r="F121" s="10" t="s">
        <v>185</v>
      </c>
      <c r="G121" s="12">
        <v>-4.431995431E9</v>
      </c>
      <c r="H121" s="11">
        <v>1.96426E18</v>
      </c>
      <c r="I121" s="13">
        <v>8.44293E19</v>
      </c>
    </row>
    <row r="122">
      <c r="A122" s="10">
        <v>27.0</v>
      </c>
      <c r="B122" s="10">
        <v>7691923.0</v>
      </c>
      <c r="C122" s="10">
        <v>2.07681921E8</v>
      </c>
      <c r="D122" s="10">
        <v>729.0</v>
      </c>
      <c r="E122" s="11">
        <v>5.91657E18</v>
      </c>
      <c r="F122" s="10" t="s">
        <v>227</v>
      </c>
      <c r="G122" s="12">
        <v>-4.121779191E9</v>
      </c>
      <c r="H122" s="11">
        <v>1.69891E18</v>
      </c>
      <c r="I122" s="13">
        <v>8.2465E19</v>
      </c>
    </row>
    <row r="123">
      <c r="A123" s="10">
        <v>52.0</v>
      </c>
      <c r="B123" s="10">
        <v>1.6622463E7</v>
      </c>
      <c r="C123" s="10">
        <v>8.64368076E8</v>
      </c>
      <c r="D123" s="10">
        <v>2704.0</v>
      </c>
      <c r="E123" s="11">
        <v>2.76306E19</v>
      </c>
      <c r="F123" s="10" t="s">
        <v>230</v>
      </c>
      <c r="G123" s="12">
        <v>4.564146812E9</v>
      </c>
      <c r="H123" s="11">
        <v>2.08314E18</v>
      </c>
      <c r="I123" s="13">
        <v>8.07661E19</v>
      </c>
    </row>
    <row r="124">
      <c r="A124" s="10">
        <v>22.0</v>
      </c>
      <c r="B124" s="10">
        <v>7207630.0</v>
      </c>
      <c r="C124" s="10">
        <v>1.5856786E8</v>
      </c>
      <c r="D124" s="10">
        <v>484.0</v>
      </c>
      <c r="E124" s="11">
        <v>5.19499E18</v>
      </c>
      <c r="F124" s="10" t="s">
        <v>238</v>
      </c>
      <c r="G124" s="12">
        <v>-4.557149392E9</v>
      </c>
      <c r="H124" s="11">
        <v>2.07676E18</v>
      </c>
      <c r="I124" s="13">
        <v>7.8683E19</v>
      </c>
    </row>
    <row r="125">
      <c r="A125" s="10">
        <v>24.0</v>
      </c>
      <c r="B125" s="10">
        <v>1.7702673E7</v>
      </c>
      <c r="C125" s="10">
        <v>4.24864152E8</v>
      </c>
      <c r="D125" s="10">
        <v>576.0</v>
      </c>
      <c r="E125" s="11">
        <v>3.13385E19</v>
      </c>
      <c r="F125" s="10" t="s">
        <v>201</v>
      </c>
      <c r="G125" s="12">
        <v>5.918324488E9</v>
      </c>
      <c r="H125" s="11">
        <v>3.50266E18</v>
      </c>
      <c r="I125" s="13">
        <v>7.66062E19</v>
      </c>
    </row>
    <row r="126">
      <c r="A126" s="10">
        <v>59.0</v>
      </c>
      <c r="B126" s="10">
        <v>2.0E7</v>
      </c>
      <c r="C126" s="10">
        <v>1.18E9</v>
      </c>
      <c r="D126" s="10">
        <v>3481.0</v>
      </c>
      <c r="E126" s="11">
        <v>4.0E19</v>
      </c>
      <c r="F126" s="10" t="s">
        <v>220</v>
      </c>
      <c r="G126" s="12">
        <v>7.873191893E9</v>
      </c>
      <c r="H126" s="11">
        <v>6.19872E18</v>
      </c>
      <c r="I126" s="13">
        <v>7.31035E19</v>
      </c>
    </row>
    <row r="127">
      <c r="A127" s="10">
        <v>47.0</v>
      </c>
      <c r="B127" s="10">
        <v>1.0959032E7</v>
      </c>
      <c r="C127" s="10">
        <v>5.15074504E8</v>
      </c>
      <c r="D127" s="10">
        <v>2209.0</v>
      </c>
      <c r="E127" s="11">
        <v>1.201E19</v>
      </c>
      <c r="F127" s="10" t="s">
        <v>229</v>
      </c>
      <c r="G127" s="12">
        <v>-1.050361389E9</v>
      </c>
      <c r="H127" s="11">
        <v>1.10326E17</v>
      </c>
      <c r="I127" s="13">
        <v>6.69048E19</v>
      </c>
    </row>
    <row r="128">
      <c r="A128" s="10">
        <v>37.0</v>
      </c>
      <c r="B128" s="10">
        <v>3638609.0</v>
      </c>
      <c r="C128" s="10">
        <v>1.34628533E8</v>
      </c>
      <c r="D128" s="10">
        <v>1369.0</v>
      </c>
      <c r="E128" s="11">
        <v>1.32395E18</v>
      </c>
      <c r="F128" s="10" t="s">
        <v>181</v>
      </c>
      <c r="G128" s="10" t="s">
        <v>259</v>
      </c>
      <c r="H128" s="11">
        <v>6.84415E18</v>
      </c>
      <c r="I128" s="13">
        <v>6.67945E19</v>
      </c>
    </row>
    <row r="129">
      <c r="A129" s="10">
        <v>32.0</v>
      </c>
      <c r="B129" s="10">
        <v>7718810.0</v>
      </c>
      <c r="C129" s="10">
        <v>2.4700192E8</v>
      </c>
      <c r="D129" s="10">
        <v>1024.0</v>
      </c>
      <c r="E129" s="11">
        <v>5.958E18</v>
      </c>
      <c r="F129" s="10" t="s">
        <v>242</v>
      </c>
      <c r="G129" s="12">
        <v>-4.143814991E9</v>
      </c>
      <c r="H129" s="11">
        <v>1.71712E18</v>
      </c>
      <c r="I129" s="13">
        <v>5.99504E19</v>
      </c>
    </row>
    <row r="130">
      <c r="A130" s="10">
        <v>29.0</v>
      </c>
      <c r="B130" s="10">
        <v>1.1537191E7</v>
      </c>
      <c r="C130" s="10">
        <v>3.34578539E8</v>
      </c>
      <c r="D130" s="10">
        <v>841.0</v>
      </c>
      <c r="E130" s="11">
        <v>1.33107E19</v>
      </c>
      <c r="F130" s="10" t="s">
        <v>206</v>
      </c>
      <c r="G130" s="12">
        <v>-2.96080311E8</v>
      </c>
      <c r="H130" s="11">
        <v>8.76636E15</v>
      </c>
      <c r="I130" s="13">
        <v>5.82332E19</v>
      </c>
    </row>
    <row r="131">
      <c r="A131" s="10">
        <v>40.0</v>
      </c>
      <c r="B131" s="10">
        <v>6656354.0</v>
      </c>
      <c r="C131" s="10">
        <v>2.6625416E8</v>
      </c>
      <c r="D131" s="10">
        <v>1600.0</v>
      </c>
      <c r="E131" s="11">
        <v>4.4307E18</v>
      </c>
      <c r="F131" s="10" t="s">
        <v>253</v>
      </c>
      <c r="G131" s="10" t="s">
        <v>260</v>
      </c>
      <c r="H131" s="11">
        <v>2.79264E18</v>
      </c>
      <c r="I131" s="13">
        <v>5.82245E19</v>
      </c>
    </row>
    <row r="132">
      <c r="A132" s="10">
        <v>25.0</v>
      </c>
      <c r="B132" s="10">
        <v>8161584.0</v>
      </c>
      <c r="C132" s="10">
        <v>2.040396E8</v>
      </c>
      <c r="D132" s="10">
        <v>625.0</v>
      </c>
      <c r="E132" s="11">
        <v>6.66115E18</v>
      </c>
      <c r="F132" s="10" t="s">
        <v>221</v>
      </c>
      <c r="G132" s="12">
        <v>-3.632549071E9</v>
      </c>
      <c r="H132" s="11">
        <v>1.31954E18</v>
      </c>
      <c r="I132" s="13">
        <v>5.54318E19</v>
      </c>
    </row>
    <row r="133">
      <c r="A133" s="10">
        <v>50.0</v>
      </c>
      <c r="B133" s="10">
        <v>9399440.0</v>
      </c>
      <c r="C133" s="10">
        <v>4.69972E8</v>
      </c>
      <c r="D133" s="10">
        <v>2500.0</v>
      </c>
      <c r="E133" s="11">
        <v>8.83495E18</v>
      </c>
      <c r="F133" s="10" t="s">
        <v>223</v>
      </c>
      <c r="G133" s="12">
        <v>-2.639307068E9</v>
      </c>
      <c r="H133" s="11">
        <v>6.96594E17</v>
      </c>
      <c r="I133" s="13">
        <v>5.41123E19</v>
      </c>
    </row>
    <row r="134">
      <c r="A134" s="10">
        <v>55.0</v>
      </c>
      <c r="B134" s="10">
        <v>3870745.0</v>
      </c>
      <c r="C134" s="10">
        <v>2.12890975E8</v>
      </c>
      <c r="D134" s="10">
        <v>3025.0</v>
      </c>
      <c r="E134" s="11">
        <v>1.49827E18</v>
      </c>
      <c r="F134" s="10" t="s">
        <v>232</v>
      </c>
      <c r="G134" s="12">
        <v>-8.216924868E9</v>
      </c>
      <c r="H134" s="11">
        <v>6.75179E18</v>
      </c>
      <c r="I134" s="13">
        <v>5.34157E19</v>
      </c>
    </row>
    <row r="135">
      <c r="A135" s="10">
        <v>35.0</v>
      </c>
      <c r="B135" s="10">
        <v>1.3516286E7</v>
      </c>
      <c r="C135" s="10">
        <v>4.7307001E8</v>
      </c>
      <c r="D135" s="10">
        <v>1225.0</v>
      </c>
      <c r="E135" s="11">
        <v>1.8269E19</v>
      </c>
      <c r="F135" s="10" t="s">
        <v>198</v>
      </c>
      <c r="G135" s="10" t="s">
        <v>261</v>
      </c>
      <c r="H135" s="11">
        <v>2.63837E17</v>
      </c>
      <c r="I135" s="13">
        <v>4.66639E19</v>
      </c>
    </row>
    <row r="136">
      <c r="A136" s="10">
        <v>46.0</v>
      </c>
      <c r="B136" s="10">
        <v>2.0E7</v>
      </c>
      <c r="C136" s="10">
        <v>9.2E8</v>
      </c>
      <c r="D136" s="10">
        <v>2116.0</v>
      </c>
      <c r="E136" s="11">
        <v>4.0E19</v>
      </c>
      <c r="F136" s="10" t="s">
        <v>234</v>
      </c>
      <c r="G136" s="12">
        <v>8.000391171E9</v>
      </c>
      <c r="H136" s="11">
        <v>6.40063E18</v>
      </c>
      <c r="I136" s="13">
        <v>4.64001E19</v>
      </c>
    </row>
    <row r="137">
      <c r="A137" s="10">
        <v>58.0</v>
      </c>
      <c r="B137" s="10">
        <v>1.0345712E7</v>
      </c>
      <c r="C137" s="10">
        <v>6.00051296E8</v>
      </c>
      <c r="D137" s="10">
        <v>3364.0</v>
      </c>
      <c r="E137" s="11">
        <v>1.07034E19</v>
      </c>
      <c r="F137" s="10" t="s">
        <v>222</v>
      </c>
      <c r="G137" s="12">
        <v>-1.771311547E9</v>
      </c>
      <c r="H137" s="11">
        <v>3.13754E17</v>
      </c>
      <c r="I137" s="13">
        <v>3.99994E19</v>
      </c>
    </row>
    <row r="138">
      <c r="A138" s="10">
        <v>53.0</v>
      </c>
      <c r="B138" s="10">
        <v>5104084.0</v>
      </c>
      <c r="C138" s="10">
        <v>2.70516452E8</v>
      </c>
      <c r="D138" s="10">
        <v>2809.0</v>
      </c>
      <c r="E138" s="11">
        <v>2.60517E18</v>
      </c>
      <c r="F138" s="10" t="s">
        <v>237</v>
      </c>
      <c r="G138" s="12">
        <v>-6.964016748E9</v>
      </c>
      <c r="H138" s="11">
        <v>4.84975E18</v>
      </c>
      <c r="I138" s="13">
        <v>3.96857E19</v>
      </c>
    </row>
    <row r="139">
      <c r="A139" s="10">
        <v>53.0</v>
      </c>
      <c r="B139" s="10">
        <v>1.3421532E7</v>
      </c>
      <c r="C139" s="10">
        <v>7.11341196E8</v>
      </c>
      <c r="D139" s="10">
        <v>2809.0</v>
      </c>
      <c r="E139" s="11">
        <v>1.80138E19</v>
      </c>
      <c r="F139" s="10" t="s">
        <v>237</v>
      </c>
      <c r="G139" s="12">
        <v>1.353431252E9</v>
      </c>
      <c r="H139" s="11">
        <v>1.83178E17</v>
      </c>
      <c r="I139" s="13">
        <v>3.48359E19</v>
      </c>
    </row>
    <row r="140">
      <c r="A140" s="10">
        <v>55.0</v>
      </c>
      <c r="B140" s="10">
        <v>9809636.0</v>
      </c>
      <c r="C140" s="10">
        <v>5.3952998E8</v>
      </c>
      <c r="D140" s="10">
        <v>3025.0</v>
      </c>
      <c r="E140" s="11">
        <v>9.6229E18</v>
      </c>
      <c r="F140" s="10" t="s">
        <v>232</v>
      </c>
      <c r="G140" s="12">
        <v>-2.278033868E9</v>
      </c>
      <c r="H140" s="11">
        <v>5.18944E17</v>
      </c>
      <c r="I140" s="13">
        <v>3.46528E19</v>
      </c>
    </row>
    <row r="141">
      <c r="A141" s="10">
        <v>37.0</v>
      </c>
      <c r="B141" s="10">
        <v>8759574.0</v>
      </c>
      <c r="C141" s="10">
        <v>3.24104238E8</v>
      </c>
      <c r="D141" s="10">
        <v>1369.0</v>
      </c>
      <c r="E141" s="11">
        <v>7.67301E18</v>
      </c>
      <c r="F141" s="10" t="s">
        <v>181</v>
      </c>
      <c r="G141" s="10" t="s">
        <v>262</v>
      </c>
      <c r="H141" s="11">
        <v>9.93494E17</v>
      </c>
      <c r="I141" s="13">
        <v>3.41338E19</v>
      </c>
    </row>
    <row r="142">
      <c r="A142" s="10">
        <v>18.0</v>
      </c>
      <c r="B142" s="10">
        <v>1.2955313E7</v>
      </c>
      <c r="C142" s="10">
        <v>2.33195634E8</v>
      </c>
      <c r="D142" s="10">
        <v>324.0</v>
      </c>
      <c r="E142" s="11">
        <v>1.6784E19</v>
      </c>
      <c r="F142" s="10" t="s">
        <v>213</v>
      </c>
      <c r="G142" s="12">
        <v>1.229671848E9</v>
      </c>
      <c r="H142" s="11">
        <v>1.51209E17</v>
      </c>
      <c r="I142" s="13">
        <v>3.31403E19</v>
      </c>
    </row>
    <row r="143">
      <c r="A143" s="10">
        <v>44.0</v>
      </c>
      <c r="B143" s="10">
        <v>2.0E7</v>
      </c>
      <c r="C143" s="10">
        <v>8.8E8</v>
      </c>
      <c r="D143" s="10">
        <v>1936.0</v>
      </c>
      <c r="E143" s="11">
        <v>4.0E19</v>
      </c>
      <c r="F143" s="10" t="s">
        <v>263</v>
      </c>
      <c r="G143" s="12">
        <v>8.019960291E9</v>
      </c>
      <c r="H143" s="11">
        <v>6.43198E18</v>
      </c>
      <c r="I143" s="13">
        <v>3.29891E19</v>
      </c>
    </row>
    <row r="144">
      <c r="A144" s="10">
        <v>22.0</v>
      </c>
      <c r="B144" s="10">
        <v>1.0481842E7</v>
      </c>
      <c r="C144" s="10">
        <v>2.30600524E8</v>
      </c>
      <c r="D144" s="10">
        <v>484.0</v>
      </c>
      <c r="E144" s="11">
        <v>1.09869E19</v>
      </c>
      <c r="F144" s="10" t="s">
        <v>238</v>
      </c>
      <c r="G144" s="12">
        <v>-1.282937392E9</v>
      </c>
      <c r="H144" s="11">
        <v>1.64593E17</v>
      </c>
      <c r="I144" s="13">
        <v>2.65571E19</v>
      </c>
    </row>
    <row r="145">
      <c r="A145" s="10">
        <v>19.0</v>
      </c>
      <c r="B145" s="10">
        <v>1.7600492E7</v>
      </c>
      <c r="C145" s="10">
        <v>3.34409348E8</v>
      </c>
      <c r="D145" s="10">
        <v>361.0</v>
      </c>
      <c r="E145" s="11">
        <v>3.09777E19</v>
      </c>
      <c r="F145" s="10" t="s">
        <v>215</v>
      </c>
      <c r="G145" s="12">
        <v>5.865066288E9</v>
      </c>
      <c r="H145" s="11">
        <v>3.4399E18</v>
      </c>
      <c r="I145" s="13">
        <v>2.63925E19</v>
      </c>
    </row>
    <row r="146">
      <c r="A146" s="10">
        <v>23.0</v>
      </c>
      <c r="B146" s="10">
        <v>1.6705638E7</v>
      </c>
      <c r="C146" s="10">
        <v>3.84229674E8</v>
      </c>
      <c r="D146" s="10">
        <v>529.0</v>
      </c>
      <c r="E146" s="11">
        <v>2.79078E19</v>
      </c>
      <c r="F146" s="10" t="s">
        <v>191</v>
      </c>
      <c r="G146" s="12">
        <v>4.931074048E9</v>
      </c>
      <c r="H146" s="11">
        <v>2.43155E18</v>
      </c>
      <c r="I146" s="13">
        <v>2.29526E19</v>
      </c>
    </row>
    <row r="147">
      <c r="A147" s="10">
        <v>37.0</v>
      </c>
      <c r="B147" s="10">
        <v>1.903328E7</v>
      </c>
      <c r="C147" s="10">
        <v>7.0423136E8</v>
      </c>
      <c r="D147" s="10">
        <v>1369.0</v>
      </c>
      <c r="E147" s="11">
        <v>3.62266E19</v>
      </c>
      <c r="F147" s="10" t="s">
        <v>181</v>
      </c>
      <c r="G147" s="10" t="s">
        <v>264</v>
      </c>
      <c r="H147" s="11">
        <v>5.07191E18</v>
      </c>
      <c r="I147" s="13">
        <v>2.05211E19</v>
      </c>
    </row>
    <row r="148">
      <c r="A148" s="10">
        <v>51.0</v>
      </c>
      <c r="B148" s="10">
        <v>1.9193548E7</v>
      </c>
      <c r="C148" s="10">
        <v>9.78870948E8</v>
      </c>
      <c r="D148" s="10">
        <v>2601.0</v>
      </c>
      <c r="E148" s="11">
        <v>3.68392E19</v>
      </c>
      <c r="F148" s="10" t="s">
        <v>178</v>
      </c>
      <c r="G148" s="12">
        <v>7.145016372E9</v>
      </c>
      <c r="H148" s="11">
        <v>5.10513E18</v>
      </c>
      <c r="I148" s="13">
        <v>1.54492E19</v>
      </c>
    </row>
    <row r="149">
      <c r="A149" s="10">
        <v>45.0</v>
      </c>
      <c r="B149" s="10">
        <v>3706063.0</v>
      </c>
      <c r="C149" s="10">
        <v>1.66772835E8</v>
      </c>
      <c r="D149" s="10">
        <v>2025.0</v>
      </c>
      <c r="E149" s="11">
        <v>1.37349E18</v>
      </c>
      <c r="F149" s="10" t="s">
        <v>233</v>
      </c>
      <c r="G149" s="12">
        <v>-8.283761269E9</v>
      </c>
      <c r="H149" s="11">
        <v>6.86207E18</v>
      </c>
      <c r="I149" s="13">
        <v>1.03441E19</v>
      </c>
    </row>
    <row r="150">
      <c r="A150" s="10">
        <v>29.0</v>
      </c>
      <c r="B150" s="10">
        <v>1.568213E7</v>
      </c>
      <c r="C150" s="10">
        <v>4.5478177E8</v>
      </c>
      <c r="D150" s="10">
        <v>841.0</v>
      </c>
      <c r="E150" s="11">
        <v>2.45929E19</v>
      </c>
      <c r="F150" s="10" t="s">
        <v>206</v>
      </c>
      <c r="G150" s="12">
        <v>3.848858689E9</v>
      </c>
      <c r="H150" s="11">
        <v>1.48137E18</v>
      </c>
      <c r="I150" s="13">
        <v>3.48198E18</v>
      </c>
    </row>
    <row r="151">
      <c r="A151" s="10">
        <v>27.0</v>
      </c>
      <c r="B151" s="10">
        <v>7340883.0</v>
      </c>
      <c r="C151" s="10">
        <v>1.98203841E8</v>
      </c>
      <c r="D151" s="10">
        <v>729.0</v>
      </c>
      <c r="E151" s="11">
        <v>5.38886E18</v>
      </c>
      <c r="F151" s="10" t="s">
        <v>227</v>
      </c>
      <c r="G151" s="12">
        <v>-4.472819191E9</v>
      </c>
      <c r="H151" s="11">
        <v>2.00061E18</v>
      </c>
      <c r="I151" s="13">
        <v>2.00061E18</v>
      </c>
    </row>
    <row r="152">
      <c r="E152" s="25"/>
    </row>
    <row r="153">
      <c r="E153" s="25"/>
    </row>
    <row r="154">
      <c r="E154" s="25"/>
    </row>
    <row r="155">
      <c r="E155" s="25"/>
    </row>
    <row r="156">
      <c r="E156" s="25"/>
    </row>
    <row r="157">
      <c r="E157" s="25"/>
    </row>
    <row r="158">
      <c r="E158" s="25"/>
    </row>
    <row r="159">
      <c r="E159" s="25"/>
    </row>
    <row r="160">
      <c r="E160" s="25"/>
    </row>
    <row r="161">
      <c r="E161" s="25"/>
    </row>
    <row r="162">
      <c r="E162" s="25"/>
    </row>
    <row r="163">
      <c r="E163" s="25"/>
    </row>
    <row r="164">
      <c r="E164" s="25"/>
    </row>
    <row r="165">
      <c r="E165" s="25"/>
    </row>
    <row r="166">
      <c r="E166" s="25"/>
    </row>
    <row r="167">
      <c r="E167" s="25"/>
    </row>
    <row r="168">
      <c r="E168" s="25"/>
    </row>
    <row r="169">
      <c r="E169" s="25"/>
    </row>
    <row r="170">
      <c r="E170" s="25"/>
    </row>
    <row r="171">
      <c r="E171" s="25"/>
    </row>
    <row r="172">
      <c r="E172" s="25"/>
    </row>
    <row r="173">
      <c r="E173" s="25"/>
    </row>
    <row r="174">
      <c r="E174" s="25"/>
    </row>
    <row r="175">
      <c r="E175" s="25"/>
    </row>
    <row r="176">
      <c r="E176" s="25"/>
    </row>
    <row r="177">
      <c r="E177" s="25"/>
    </row>
    <row r="178">
      <c r="E178" s="25"/>
    </row>
    <row r="179">
      <c r="E179" s="25"/>
    </row>
    <row r="180">
      <c r="E180" s="25"/>
    </row>
    <row r="181">
      <c r="E181" s="25"/>
    </row>
    <row r="182">
      <c r="E182" s="25"/>
    </row>
    <row r="183">
      <c r="E183" s="25"/>
    </row>
    <row r="184">
      <c r="E184" s="25"/>
    </row>
    <row r="185">
      <c r="E185" s="25"/>
    </row>
    <row r="186">
      <c r="E186" s="25"/>
    </row>
    <row r="187">
      <c r="E187" s="25"/>
    </row>
    <row r="188">
      <c r="E188" s="25"/>
    </row>
    <row r="189">
      <c r="E189" s="25"/>
    </row>
    <row r="190">
      <c r="E190" s="25"/>
    </row>
    <row r="191">
      <c r="E191" s="25"/>
    </row>
    <row r="192">
      <c r="E192" s="25"/>
    </row>
    <row r="193">
      <c r="E193" s="25"/>
    </row>
    <row r="194">
      <c r="E194" s="25"/>
    </row>
    <row r="195">
      <c r="E195" s="25"/>
    </row>
    <row r="196">
      <c r="E196" s="25"/>
    </row>
    <row r="197">
      <c r="E197" s="25"/>
    </row>
    <row r="198">
      <c r="E198" s="25"/>
    </row>
    <row r="199">
      <c r="E199" s="25"/>
    </row>
    <row r="200">
      <c r="E200" s="25"/>
    </row>
    <row r="201">
      <c r="E201" s="25"/>
    </row>
    <row r="202">
      <c r="E202" s="25"/>
    </row>
    <row r="203">
      <c r="E203" s="25"/>
    </row>
    <row r="204">
      <c r="E204" s="25"/>
    </row>
    <row r="205">
      <c r="E205" s="25"/>
    </row>
    <row r="206">
      <c r="E206" s="25"/>
    </row>
    <row r="207">
      <c r="E207" s="25"/>
    </row>
    <row r="208">
      <c r="E208" s="25"/>
    </row>
    <row r="209">
      <c r="E209" s="25"/>
    </row>
    <row r="210">
      <c r="E210" s="25"/>
    </row>
    <row r="211">
      <c r="E211" s="25"/>
    </row>
    <row r="212">
      <c r="E212" s="25"/>
    </row>
    <row r="213">
      <c r="E213" s="25"/>
    </row>
    <row r="214">
      <c r="E214" s="25"/>
    </row>
    <row r="215">
      <c r="E215" s="25"/>
    </row>
    <row r="216">
      <c r="E216" s="25"/>
    </row>
    <row r="217">
      <c r="E217" s="25"/>
    </row>
    <row r="218">
      <c r="E218" s="25"/>
    </row>
    <row r="219">
      <c r="E219" s="25"/>
    </row>
    <row r="220">
      <c r="E220" s="25"/>
    </row>
    <row r="221">
      <c r="E221" s="25"/>
    </row>
    <row r="222">
      <c r="E222" s="25"/>
    </row>
    <row r="223">
      <c r="E223" s="25"/>
    </row>
    <row r="224">
      <c r="E224" s="25"/>
    </row>
    <row r="225">
      <c r="E225" s="25"/>
    </row>
    <row r="226">
      <c r="E226" s="25"/>
    </row>
    <row r="227">
      <c r="E227" s="25"/>
    </row>
    <row r="228">
      <c r="E228" s="25"/>
    </row>
    <row r="229">
      <c r="E229" s="25"/>
    </row>
    <row r="230">
      <c r="E230" s="25"/>
    </row>
    <row r="231">
      <c r="E231" s="25"/>
    </row>
    <row r="232">
      <c r="E232" s="25"/>
    </row>
    <row r="233">
      <c r="E233" s="25"/>
    </row>
    <row r="234">
      <c r="E234" s="25"/>
    </row>
    <row r="235">
      <c r="E235" s="25"/>
    </row>
    <row r="236">
      <c r="E236" s="25"/>
    </row>
    <row r="237">
      <c r="E237" s="25"/>
    </row>
    <row r="238">
      <c r="E238" s="25"/>
    </row>
    <row r="239">
      <c r="E239" s="25"/>
    </row>
    <row r="240">
      <c r="E240" s="25"/>
    </row>
    <row r="241">
      <c r="E241" s="25"/>
    </row>
    <row r="242">
      <c r="E242" s="25"/>
    </row>
    <row r="243">
      <c r="E243" s="25"/>
    </row>
    <row r="244">
      <c r="E244" s="25"/>
    </row>
    <row r="245">
      <c r="E245" s="25"/>
    </row>
    <row r="246">
      <c r="E246" s="25"/>
    </row>
    <row r="247">
      <c r="E247" s="25"/>
    </row>
    <row r="248">
      <c r="E248" s="25"/>
    </row>
    <row r="249">
      <c r="E249" s="25"/>
    </row>
    <row r="250">
      <c r="E250" s="25"/>
    </row>
    <row r="251">
      <c r="E251" s="25"/>
    </row>
    <row r="252">
      <c r="E252" s="25"/>
    </row>
    <row r="253">
      <c r="E253" s="25"/>
    </row>
    <row r="254">
      <c r="E254" s="25"/>
    </row>
    <row r="255">
      <c r="E255" s="25"/>
    </row>
    <row r="256">
      <c r="E256" s="25"/>
    </row>
    <row r="257">
      <c r="E257" s="25"/>
    </row>
    <row r="258">
      <c r="E258" s="25"/>
    </row>
    <row r="259">
      <c r="E259" s="25"/>
    </row>
    <row r="260">
      <c r="E260" s="25"/>
    </row>
    <row r="261">
      <c r="E261" s="25"/>
    </row>
    <row r="262">
      <c r="E262" s="25"/>
    </row>
    <row r="263">
      <c r="E263" s="25"/>
    </row>
    <row r="264">
      <c r="E264" s="25"/>
    </row>
    <row r="265">
      <c r="E265" s="25"/>
    </row>
    <row r="266">
      <c r="E266" s="25"/>
    </row>
    <row r="267">
      <c r="E267" s="25"/>
    </row>
    <row r="268">
      <c r="E268" s="25"/>
    </row>
    <row r="269">
      <c r="E269" s="25"/>
    </row>
    <row r="270">
      <c r="E270" s="25"/>
    </row>
    <row r="271">
      <c r="E271" s="25"/>
    </row>
    <row r="272">
      <c r="E272" s="25"/>
    </row>
    <row r="273">
      <c r="E273" s="25"/>
    </row>
    <row r="274">
      <c r="E274" s="25"/>
    </row>
    <row r="275">
      <c r="E275" s="25"/>
    </row>
    <row r="276">
      <c r="E276" s="25"/>
    </row>
    <row r="277">
      <c r="E277" s="25"/>
    </row>
    <row r="278">
      <c r="E278" s="25"/>
    </row>
    <row r="279">
      <c r="E279" s="25"/>
    </row>
    <row r="280">
      <c r="E280" s="25"/>
    </row>
    <row r="281">
      <c r="E281" s="25"/>
    </row>
    <row r="282">
      <c r="E282" s="25"/>
    </row>
    <row r="283">
      <c r="E283" s="25"/>
    </row>
    <row r="284">
      <c r="E284" s="25"/>
    </row>
    <row r="285">
      <c r="E285" s="25"/>
    </row>
    <row r="286">
      <c r="E286" s="25"/>
    </row>
    <row r="287">
      <c r="E287" s="25"/>
    </row>
    <row r="288">
      <c r="E288" s="25"/>
    </row>
    <row r="289">
      <c r="E289" s="25"/>
    </row>
    <row r="290">
      <c r="E290" s="25"/>
    </row>
    <row r="291">
      <c r="E291" s="25"/>
    </row>
    <row r="292">
      <c r="E292" s="25"/>
    </row>
    <row r="293">
      <c r="E293" s="25"/>
    </row>
    <row r="294">
      <c r="E294" s="25"/>
    </row>
    <row r="295">
      <c r="E295" s="25"/>
    </row>
    <row r="296">
      <c r="E296" s="25"/>
    </row>
    <row r="297">
      <c r="E297" s="25"/>
    </row>
    <row r="298">
      <c r="E298" s="25"/>
    </row>
    <row r="299">
      <c r="E299" s="25"/>
    </row>
    <row r="300">
      <c r="E300" s="25"/>
    </row>
    <row r="301">
      <c r="E301" s="25"/>
    </row>
    <row r="302">
      <c r="E302" s="25"/>
    </row>
    <row r="303">
      <c r="E303" s="25"/>
    </row>
    <row r="304">
      <c r="E304" s="25"/>
    </row>
    <row r="305">
      <c r="E305" s="25"/>
    </row>
    <row r="306">
      <c r="E306" s="25"/>
    </row>
    <row r="307">
      <c r="E307" s="25"/>
    </row>
    <row r="308">
      <c r="E308" s="25"/>
    </row>
    <row r="309">
      <c r="E309" s="25"/>
    </row>
    <row r="310">
      <c r="E310" s="25"/>
    </row>
    <row r="311">
      <c r="E311" s="25"/>
    </row>
    <row r="312">
      <c r="E312" s="25"/>
    </row>
    <row r="313">
      <c r="E313" s="25"/>
    </row>
    <row r="314">
      <c r="E314" s="25"/>
    </row>
    <row r="315">
      <c r="E315" s="25"/>
    </row>
    <row r="316">
      <c r="E316" s="25"/>
    </row>
    <row r="317">
      <c r="E317" s="25"/>
    </row>
    <row r="318">
      <c r="E318" s="25"/>
    </row>
    <row r="319">
      <c r="E319" s="25"/>
    </row>
    <row r="320">
      <c r="E320" s="25"/>
    </row>
    <row r="321">
      <c r="E321" s="25"/>
    </row>
    <row r="322">
      <c r="E322" s="25"/>
    </row>
    <row r="323">
      <c r="E323" s="25"/>
    </row>
    <row r="324">
      <c r="E324" s="25"/>
    </row>
    <row r="325">
      <c r="E325" s="25"/>
    </row>
    <row r="326">
      <c r="E326" s="25"/>
    </row>
    <row r="327">
      <c r="E327" s="25"/>
    </row>
    <row r="328">
      <c r="E328" s="25"/>
    </row>
    <row r="329">
      <c r="E329" s="25"/>
    </row>
    <row r="330">
      <c r="E330" s="25"/>
    </row>
    <row r="331">
      <c r="E331" s="25"/>
    </row>
    <row r="332">
      <c r="E332" s="25"/>
    </row>
    <row r="333">
      <c r="E333" s="25"/>
    </row>
    <row r="334">
      <c r="E334" s="25"/>
    </row>
    <row r="335">
      <c r="E335" s="25"/>
    </row>
    <row r="336">
      <c r="E336" s="25"/>
    </row>
    <row r="337">
      <c r="E337" s="25"/>
    </row>
    <row r="338">
      <c r="E338" s="25"/>
    </row>
    <row r="339">
      <c r="E339" s="25"/>
    </row>
    <row r="340">
      <c r="E340" s="25"/>
    </row>
    <row r="341">
      <c r="E341" s="25"/>
    </row>
    <row r="342">
      <c r="E342" s="25"/>
    </row>
    <row r="343">
      <c r="E343" s="25"/>
    </row>
    <row r="344">
      <c r="E344" s="25"/>
    </row>
    <row r="345">
      <c r="E345" s="25"/>
    </row>
    <row r="346">
      <c r="E346" s="25"/>
    </row>
    <row r="347">
      <c r="E347" s="25"/>
    </row>
    <row r="348">
      <c r="E348" s="25"/>
    </row>
    <row r="349">
      <c r="E349" s="25"/>
    </row>
    <row r="350">
      <c r="E350" s="25"/>
    </row>
    <row r="351">
      <c r="E351" s="25"/>
    </row>
    <row r="352">
      <c r="E352" s="25"/>
    </row>
    <row r="353">
      <c r="E353" s="25"/>
    </row>
    <row r="354">
      <c r="E354" s="25"/>
    </row>
    <row r="355">
      <c r="E355" s="25"/>
    </row>
    <row r="356">
      <c r="E356" s="25"/>
    </row>
    <row r="357">
      <c r="E357" s="25"/>
    </row>
    <row r="358">
      <c r="E358" s="25"/>
    </row>
    <row r="359">
      <c r="E359" s="25"/>
    </row>
    <row r="360">
      <c r="E360" s="25"/>
    </row>
    <row r="361">
      <c r="E361" s="25"/>
    </row>
    <row r="362">
      <c r="E362" s="25"/>
    </row>
    <row r="363">
      <c r="E363" s="25"/>
    </row>
    <row r="364">
      <c r="E364" s="25"/>
    </row>
    <row r="365">
      <c r="E365" s="25"/>
    </row>
    <row r="366">
      <c r="E366" s="25"/>
    </row>
    <row r="367">
      <c r="E367" s="25"/>
    </row>
    <row r="368">
      <c r="E368" s="25"/>
    </row>
    <row r="369">
      <c r="E369" s="25"/>
    </row>
    <row r="370">
      <c r="E370" s="25"/>
    </row>
    <row r="371">
      <c r="E371" s="25"/>
    </row>
    <row r="372">
      <c r="E372" s="25"/>
    </row>
    <row r="373">
      <c r="E373" s="25"/>
    </row>
    <row r="374">
      <c r="E374" s="25"/>
    </row>
    <row r="375">
      <c r="E375" s="25"/>
    </row>
    <row r="376">
      <c r="E376" s="25"/>
    </row>
    <row r="377">
      <c r="E377" s="25"/>
    </row>
    <row r="378">
      <c r="E378" s="25"/>
    </row>
    <row r="379">
      <c r="E379" s="25"/>
    </row>
    <row r="380">
      <c r="E380" s="25"/>
    </row>
    <row r="381">
      <c r="E381" s="25"/>
    </row>
    <row r="382">
      <c r="E382" s="25"/>
    </row>
    <row r="383">
      <c r="E383" s="25"/>
    </row>
    <row r="384">
      <c r="E384" s="25"/>
    </row>
    <row r="385">
      <c r="E385" s="25"/>
    </row>
    <row r="386">
      <c r="E386" s="25"/>
    </row>
    <row r="387">
      <c r="E387" s="25"/>
    </row>
    <row r="388">
      <c r="E388" s="25"/>
    </row>
    <row r="389">
      <c r="E389" s="25"/>
    </row>
    <row r="390">
      <c r="E390" s="25"/>
    </row>
    <row r="391">
      <c r="E391" s="25"/>
    </row>
    <row r="392">
      <c r="E392" s="25"/>
    </row>
    <row r="393">
      <c r="E393" s="25"/>
    </row>
    <row r="394">
      <c r="E394" s="25"/>
    </row>
    <row r="395">
      <c r="E395" s="25"/>
    </row>
    <row r="396">
      <c r="E396" s="25"/>
    </row>
    <row r="397">
      <c r="E397" s="25"/>
    </row>
    <row r="398">
      <c r="E398" s="25"/>
    </row>
    <row r="399">
      <c r="E399" s="25"/>
    </row>
    <row r="400">
      <c r="E400" s="25"/>
    </row>
    <row r="401">
      <c r="E401" s="25"/>
    </row>
    <row r="402">
      <c r="E402" s="25"/>
    </row>
    <row r="403">
      <c r="E403" s="25"/>
    </row>
    <row r="404">
      <c r="E404" s="25"/>
    </row>
    <row r="405">
      <c r="E405" s="25"/>
    </row>
    <row r="406">
      <c r="E406" s="25"/>
    </row>
    <row r="407">
      <c r="E407" s="25"/>
    </row>
    <row r="408">
      <c r="E408" s="25"/>
    </row>
    <row r="409">
      <c r="E409" s="25"/>
    </row>
    <row r="410">
      <c r="E410" s="25"/>
    </row>
    <row r="411">
      <c r="E411" s="25"/>
    </row>
    <row r="412">
      <c r="E412" s="25"/>
    </row>
    <row r="413">
      <c r="E413" s="25"/>
    </row>
    <row r="414">
      <c r="E414" s="25"/>
    </row>
    <row r="415">
      <c r="E415" s="25"/>
    </row>
    <row r="416">
      <c r="E416" s="25"/>
    </row>
    <row r="417">
      <c r="E417" s="25"/>
    </row>
    <row r="418">
      <c r="E418" s="25"/>
    </row>
    <row r="419">
      <c r="E419" s="25"/>
    </row>
    <row r="420">
      <c r="E420" s="25"/>
    </row>
    <row r="421">
      <c r="E421" s="25"/>
    </row>
    <row r="422">
      <c r="E422" s="25"/>
    </row>
    <row r="423">
      <c r="E423" s="25"/>
    </row>
    <row r="424">
      <c r="E424" s="25"/>
    </row>
    <row r="425">
      <c r="E425" s="25"/>
    </row>
    <row r="426">
      <c r="E426" s="25"/>
    </row>
    <row r="427">
      <c r="E427" s="25"/>
    </row>
    <row r="428">
      <c r="E428" s="25"/>
    </row>
    <row r="429">
      <c r="E429" s="25"/>
    </row>
    <row r="430">
      <c r="E430" s="25"/>
    </row>
    <row r="431">
      <c r="E431" s="25"/>
    </row>
    <row r="432">
      <c r="E432" s="25"/>
    </row>
    <row r="433">
      <c r="E433" s="25"/>
    </row>
    <row r="434">
      <c r="E434" s="25"/>
    </row>
    <row r="435">
      <c r="E435" s="25"/>
    </row>
    <row r="436">
      <c r="E436" s="25"/>
    </row>
    <row r="437">
      <c r="E437" s="25"/>
    </row>
    <row r="438">
      <c r="E438" s="25"/>
    </row>
    <row r="439">
      <c r="E439" s="25"/>
    </row>
    <row r="440">
      <c r="E440" s="25"/>
    </row>
    <row r="441">
      <c r="E441" s="25"/>
    </row>
    <row r="442">
      <c r="E442" s="25"/>
    </row>
    <row r="443">
      <c r="E443" s="25"/>
    </row>
    <row r="444">
      <c r="E444" s="25"/>
    </row>
    <row r="445">
      <c r="E445" s="25"/>
    </row>
    <row r="446">
      <c r="E446" s="25"/>
    </row>
    <row r="447">
      <c r="E447" s="25"/>
    </row>
    <row r="448">
      <c r="E448" s="25"/>
    </row>
    <row r="449">
      <c r="E449" s="25"/>
    </row>
    <row r="450">
      <c r="E450" s="25"/>
    </row>
    <row r="451">
      <c r="E451" s="25"/>
    </row>
    <row r="452">
      <c r="E452" s="25"/>
    </row>
    <row r="453">
      <c r="E453" s="25"/>
    </row>
    <row r="454">
      <c r="E454" s="25"/>
    </row>
    <row r="455">
      <c r="E455" s="25"/>
    </row>
    <row r="456">
      <c r="E456" s="25"/>
    </row>
    <row r="457">
      <c r="E457" s="25"/>
    </row>
    <row r="458">
      <c r="E458" s="25"/>
    </row>
    <row r="459">
      <c r="E459" s="25"/>
    </row>
    <row r="460">
      <c r="E460" s="25"/>
    </row>
    <row r="461">
      <c r="E461" s="25"/>
    </row>
    <row r="462">
      <c r="E462" s="25"/>
    </row>
    <row r="463">
      <c r="E463" s="25"/>
    </row>
    <row r="464">
      <c r="E464" s="25"/>
    </row>
    <row r="465">
      <c r="E465" s="25"/>
    </row>
    <row r="466">
      <c r="E466" s="25"/>
    </row>
    <row r="467">
      <c r="E467" s="25"/>
    </row>
    <row r="468">
      <c r="E468" s="25"/>
    </row>
    <row r="469">
      <c r="E469" s="25"/>
    </row>
    <row r="470">
      <c r="E470" s="25"/>
    </row>
    <row r="471">
      <c r="E471" s="25"/>
    </row>
    <row r="472">
      <c r="E472" s="25"/>
    </row>
    <row r="473">
      <c r="E473" s="25"/>
    </row>
    <row r="474">
      <c r="E474" s="25"/>
    </row>
    <row r="475">
      <c r="E475" s="25"/>
    </row>
    <row r="476">
      <c r="E476" s="25"/>
    </row>
    <row r="477">
      <c r="E477" s="25"/>
    </row>
    <row r="478">
      <c r="E478" s="25"/>
    </row>
    <row r="479">
      <c r="E479" s="25"/>
    </row>
    <row r="480">
      <c r="E480" s="25"/>
    </row>
    <row r="481">
      <c r="E481" s="25"/>
    </row>
    <row r="482">
      <c r="E482" s="25"/>
    </row>
    <row r="483">
      <c r="E483" s="25"/>
    </row>
    <row r="484">
      <c r="E484" s="25"/>
    </row>
    <row r="485">
      <c r="E485" s="25"/>
    </row>
    <row r="486">
      <c r="E486" s="25"/>
    </row>
    <row r="487">
      <c r="E487" s="25"/>
    </row>
    <row r="488">
      <c r="E488" s="25"/>
    </row>
    <row r="489">
      <c r="E489" s="25"/>
    </row>
    <row r="490">
      <c r="E490" s="25"/>
    </row>
    <row r="491">
      <c r="E491" s="25"/>
    </row>
    <row r="492">
      <c r="E492" s="25"/>
    </row>
    <row r="493">
      <c r="E493" s="25"/>
    </row>
    <row r="494">
      <c r="E494" s="25"/>
    </row>
    <row r="495">
      <c r="E495" s="25"/>
    </row>
    <row r="496">
      <c r="E496" s="25"/>
    </row>
    <row r="497">
      <c r="E497" s="25"/>
    </row>
    <row r="498">
      <c r="E498" s="25"/>
    </row>
    <row r="499">
      <c r="E499" s="25"/>
    </row>
    <row r="500">
      <c r="E500" s="25"/>
    </row>
    <row r="501">
      <c r="E501" s="25"/>
    </row>
    <row r="502">
      <c r="E502" s="25"/>
    </row>
    <row r="503">
      <c r="E503" s="25"/>
    </row>
    <row r="504">
      <c r="E504" s="25"/>
    </row>
    <row r="505">
      <c r="E505" s="25"/>
    </row>
    <row r="506">
      <c r="E506" s="25"/>
    </row>
    <row r="507">
      <c r="E507" s="25"/>
    </row>
    <row r="508">
      <c r="E508" s="25"/>
    </row>
    <row r="509">
      <c r="E509" s="25"/>
    </row>
    <row r="510">
      <c r="E510" s="25"/>
    </row>
    <row r="511">
      <c r="E511" s="25"/>
    </row>
    <row r="512">
      <c r="E512" s="25"/>
    </row>
    <row r="513">
      <c r="E513" s="25"/>
    </row>
    <row r="514">
      <c r="E514" s="25"/>
    </row>
    <row r="515">
      <c r="E515" s="25"/>
    </row>
    <row r="516">
      <c r="E516" s="25"/>
    </row>
    <row r="517">
      <c r="E517" s="25"/>
    </row>
    <row r="518">
      <c r="E518" s="25"/>
    </row>
    <row r="519">
      <c r="E519" s="25"/>
    </row>
    <row r="520">
      <c r="E520" s="25"/>
    </row>
    <row r="521">
      <c r="E521" s="25"/>
    </row>
    <row r="522">
      <c r="E522" s="25"/>
    </row>
    <row r="523">
      <c r="E523" s="25"/>
    </row>
    <row r="524">
      <c r="E524" s="25"/>
    </row>
    <row r="525">
      <c r="E525" s="25"/>
    </row>
    <row r="526">
      <c r="E526" s="25"/>
    </row>
    <row r="527">
      <c r="E527" s="25"/>
    </row>
    <row r="528">
      <c r="E528" s="25"/>
    </row>
    <row r="529">
      <c r="E529" s="25"/>
    </row>
    <row r="530">
      <c r="E530" s="25"/>
    </row>
    <row r="531">
      <c r="E531" s="25"/>
    </row>
    <row r="532">
      <c r="E532" s="25"/>
    </row>
    <row r="533">
      <c r="E533" s="25"/>
    </row>
    <row r="534">
      <c r="E534" s="25"/>
    </row>
    <row r="535">
      <c r="E535" s="25"/>
    </row>
    <row r="536">
      <c r="E536" s="25"/>
    </row>
    <row r="537">
      <c r="E537" s="25"/>
    </row>
    <row r="538">
      <c r="E538" s="25"/>
    </row>
    <row r="539">
      <c r="E539" s="25"/>
    </row>
    <row r="540">
      <c r="E540" s="25"/>
    </row>
    <row r="541">
      <c r="E541" s="25"/>
    </row>
    <row r="542">
      <c r="E542" s="25"/>
    </row>
    <row r="543">
      <c r="E543" s="25"/>
    </row>
    <row r="544">
      <c r="E544" s="25"/>
    </row>
    <row r="545">
      <c r="E545" s="25"/>
    </row>
    <row r="546">
      <c r="E546" s="25"/>
    </row>
    <row r="547">
      <c r="E547" s="25"/>
    </row>
    <row r="548">
      <c r="E548" s="25"/>
    </row>
    <row r="549">
      <c r="E549" s="25"/>
    </row>
    <row r="550">
      <c r="E550" s="25"/>
    </row>
    <row r="551">
      <c r="E551" s="25"/>
    </row>
    <row r="552">
      <c r="E552" s="25"/>
    </row>
    <row r="553">
      <c r="E553" s="25"/>
    </row>
    <row r="554">
      <c r="E554" s="25"/>
    </row>
    <row r="555">
      <c r="E555" s="25"/>
    </row>
    <row r="556">
      <c r="E556" s="25"/>
    </row>
    <row r="557">
      <c r="E557" s="25"/>
    </row>
    <row r="558">
      <c r="E558" s="25"/>
    </row>
    <row r="559">
      <c r="E559" s="25"/>
    </row>
    <row r="560">
      <c r="E560" s="25"/>
    </row>
    <row r="561">
      <c r="E561" s="25"/>
    </row>
    <row r="562">
      <c r="E562" s="25"/>
    </row>
    <row r="563">
      <c r="E563" s="25"/>
    </row>
    <row r="564">
      <c r="E564" s="25"/>
    </row>
    <row r="565">
      <c r="E565" s="25"/>
    </row>
    <row r="566">
      <c r="E566" s="25"/>
    </row>
    <row r="567">
      <c r="E567" s="25"/>
    </row>
    <row r="568">
      <c r="E568" s="25"/>
    </row>
    <row r="569">
      <c r="E569" s="25"/>
    </row>
    <row r="570">
      <c r="E570" s="25"/>
    </row>
    <row r="571">
      <c r="E571" s="25"/>
    </row>
    <row r="572">
      <c r="E572" s="25"/>
    </row>
    <row r="573">
      <c r="E573" s="25"/>
    </row>
    <row r="574">
      <c r="E574" s="25"/>
    </row>
    <row r="575">
      <c r="E575" s="25"/>
    </row>
    <row r="576">
      <c r="E576" s="25"/>
    </row>
    <row r="577">
      <c r="E577" s="25"/>
    </row>
    <row r="578">
      <c r="E578" s="25"/>
    </row>
    <row r="579">
      <c r="E579" s="25"/>
    </row>
    <row r="580">
      <c r="E580" s="25"/>
    </row>
    <row r="581">
      <c r="E581" s="25"/>
    </row>
    <row r="582">
      <c r="E582" s="25"/>
    </row>
    <row r="583">
      <c r="E583" s="25"/>
    </row>
    <row r="584">
      <c r="E584" s="25"/>
    </row>
    <row r="585">
      <c r="E585" s="25"/>
    </row>
    <row r="586">
      <c r="E586" s="25"/>
    </row>
    <row r="587">
      <c r="E587" s="25"/>
    </row>
    <row r="588">
      <c r="E588" s="25"/>
    </row>
    <row r="589">
      <c r="E589" s="25"/>
    </row>
    <row r="590">
      <c r="E590" s="25"/>
    </row>
    <row r="591">
      <c r="E591" s="25"/>
    </row>
    <row r="592">
      <c r="E592" s="25"/>
    </row>
    <row r="593">
      <c r="E593" s="25"/>
    </row>
    <row r="594">
      <c r="E594" s="25"/>
    </row>
    <row r="595">
      <c r="E595" s="25"/>
    </row>
    <row r="596">
      <c r="E596" s="25"/>
    </row>
    <row r="597">
      <c r="E597" s="25"/>
    </row>
    <row r="598">
      <c r="E598" s="25"/>
    </row>
    <row r="599">
      <c r="E599" s="25"/>
    </row>
    <row r="600">
      <c r="E600" s="25"/>
    </row>
    <row r="601">
      <c r="E601" s="25"/>
    </row>
    <row r="602">
      <c r="E602" s="25"/>
    </row>
    <row r="603">
      <c r="E603" s="25"/>
    </row>
    <row r="604">
      <c r="E604" s="25"/>
    </row>
    <row r="605">
      <c r="E605" s="25"/>
    </row>
    <row r="606">
      <c r="E606" s="25"/>
    </row>
    <row r="607">
      <c r="E607" s="25"/>
    </row>
    <row r="608">
      <c r="E608" s="25"/>
    </row>
    <row r="609">
      <c r="E609" s="25"/>
    </row>
    <row r="610">
      <c r="E610" s="25"/>
    </row>
    <row r="611">
      <c r="E611" s="25"/>
    </row>
    <row r="612">
      <c r="E612" s="25"/>
    </row>
    <row r="613">
      <c r="E613" s="25"/>
    </row>
    <row r="614">
      <c r="E614" s="25"/>
    </row>
    <row r="615">
      <c r="E615" s="25"/>
    </row>
    <row r="616">
      <c r="E616" s="25"/>
    </row>
    <row r="617">
      <c r="E617" s="25"/>
    </row>
    <row r="618">
      <c r="E618" s="25"/>
    </row>
    <row r="619">
      <c r="E619" s="25"/>
    </row>
    <row r="620">
      <c r="E620" s="25"/>
    </row>
    <row r="621">
      <c r="E621" s="25"/>
    </row>
    <row r="622">
      <c r="E622" s="25"/>
    </row>
    <row r="623">
      <c r="E623" s="25"/>
    </row>
    <row r="624">
      <c r="E624" s="25"/>
    </row>
    <row r="625">
      <c r="E625" s="25"/>
    </row>
    <row r="626">
      <c r="E626" s="25"/>
    </row>
    <row r="627">
      <c r="E627" s="25"/>
    </row>
    <row r="628">
      <c r="E628" s="25"/>
    </row>
    <row r="629">
      <c r="E629" s="25"/>
    </row>
    <row r="630">
      <c r="E630" s="25"/>
    </row>
    <row r="631">
      <c r="E631" s="25"/>
    </row>
    <row r="632">
      <c r="E632" s="25"/>
    </row>
    <row r="633">
      <c r="E633" s="25"/>
    </row>
    <row r="634">
      <c r="E634" s="25"/>
    </row>
    <row r="635">
      <c r="E635" s="25"/>
    </row>
    <row r="636">
      <c r="E636" s="25"/>
    </row>
    <row r="637">
      <c r="E637" s="25"/>
    </row>
    <row r="638">
      <c r="E638" s="25"/>
    </row>
    <row r="639">
      <c r="E639" s="25"/>
    </row>
    <row r="640">
      <c r="E640" s="25"/>
    </row>
    <row r="641">
      <c r="E641" s="25"/>
    </row>
    <row r="642">
      <c r="E642" s="25"/>
    </row>
    <row r="643">
      <c r="E643" s="25"/>
    </row>
    <row r="644">
      <c r="E644" s="25"/>
    </row>
    <row r="645">
      <c r="E645" s="25"/>
    </row>
    <row r="646">
      <c r="E646" s="25"/>
    </row>
    <row r="647">
      <c r="E647" s="25"/>
    </row>
    <row r="648">
      <c r="E648" s="25"/>
    </row>
    <row r="649">
      <c r="E649" s="25"/>
    </row>
    <row r="650">
      <c r="E650" s="25"/>
    </row>
    <row r="651">
      <c r="E651" s="25"/>
    </row>
    <row r="652">
      <c r="E652" s="25"/>
    </row>
    <row r="653">
      <c r="E653" s="25"/>
    </row>
    <row r="654">
      <c r="E654" s="25"/>
    </row>
    <row r="655">
      <c r="E655" s="25"/>
    </row>
    <row r="656">
      <c r="E656" s="25"/>
    </row>
    <row r="657">
      <c r="E657" s="25"/>
    </row>
    <row r="658">
      <c r="E658" s="25"/>
    </row>
    <row r="659">
      <c r="E659" s="25"/>
    </row>
    <row r="660">
      <c r="E660" s="25"/>
    </row>
    <row r="661">
      <c r="E661" s="25"/>
    </row>
    <row r="662">
      <c r="E662" s="25"/>
    </row>
    <row r="663">
      <c r="E663" s="25"/>
    </row>
    <row r="664">
      <c r="E664" s="25"/>
    </row>
    <row r="665">
      <c r="E665" s="25"/>
    </row>
    <row r="666">
      <c r="E666" s="25"/>
    </row>
    <row r="667">
      <c r="E667" s="25"/>
    </row>
    <row r="668">
      <c r="E668" s="25"/>
    </row>
    <row r="669">
      <c r="E669" s="25"/>
    </row>
    <row r="670">
      <c r="E670" s="25"/>
    </row>
    <row r="671">
      <c r="E671" s="25"/>
    </row>
    <row r="672">
      <c r="E672" s="25"/>
    </row>
    <row r="673">
      <c r="E673" s="25"/>
    </row>
    <row r="674">
      <c r="E674" s="25"/>
    </row>
    <row r="675">
      <c r="E675" s="25"/>
    </row>
    <row r="676">
      <c r="E676" s="25"/>
    </row>
    <row r="677">
      <c r="E677" s="25"/>
    </row>
    <row r="678">
      <c r="E678" s="25"/>
    </row>
    <row r="679">
      <c r="E679" s="25"/>
    </row>
    <row r="680">
      <c r="E680" s="25"/>
    </row>
    <row r="681">
      <c r="E681" s="25"/>
    </row>
    <row r="682">
      <c r="E682" s="25"/>
    </row>
    <row r="683">
      <c r="E683" s="25"/>
    </row>
    <row r="684">
      <c r="E684" s="25"/>
    </row>
    <row r="685">
      <c r="E685" s="25"/>
    </row>
    <row r="686">
      <c r="E686" s="25"/>
    </row>
    <row r="687">
      <c r="E687" s="25"/>
    </row>
    <row r="688">
      <c r="E688" s="25"/>
    </row>
    <row r="689">
      <c r="E689" s="25"/>
    </row>
    <row r="690">
      <c r="E690" s="25"/>
    </row>
    <row r="691">
      <c r="E691" s="25"/>
    </row>
    <row r="692">
      <c r="E692" s="25"/>
    </row>
    <row r="693">
      <c r="E693" s="25"/>
    </row>
    <row r="694">
      <c r="E694" s="25"/>
    </row>
    <row r="695">
      <c r="E695" s="25"/>
    </row>
    <row r="696">
      <c r="E696" s="25"/>
    </row>
    <row r="697">
      <c r="E697" s="25"/>
    </row>
    <row r="698">
      <c r="E698" s="25"/>
    </row>
    <row r="699">
      <c r="E699" s="25"/>
    </row>
    <row r="700">
      <c r="E700" s="25"/>
    </row>
    <row r="701">
      <c r="E701" s="25"/>
    </row>
    <row r="702">
      <c r="E702" s="25"/>
    </row>
    <row r="703">
      <c r="E703" s="25"/>
    </row>
    <row r="704">
      <c r="E704" s="25"/>
    </row>
    <row r="705">
      <c r="E705" s="25"/>
    </row>
    <row r="706">
      <c r="E706" s="25"/>
    </row>
    <row r="707">
      <c r="E707" s="25"/>
    </row>
    <row r="708">
      <c r="E708" s="25"/>
    </row>
    <row r="709">
      <c r="E709" s="25"/>
    </row>
    <row r="710">
      <c r="E710" s="25"/>
    </row>
    <row r="711">
      <c r="E711" s="25"/>
    </row>
    <row r="712">
      <c r="E712" s="25"/>
    </row>
    <row r="713">
      <c r="E713" s="25"/>
    </row>
    <row r="714">
      <c r="E714" s="25"/>
    </row>
    <row r="715">
      <c r="E715" s="25"/>
    </row>
    <row r="716">
      <c r="E716" s="25"/>
    </row>
    <row r="717">
      <c r="E717" s="25"/>
    </row>
    <row r="718">
      <c r="E718" s="25"/>
    </row>
    <row r="719">
      <c r="E719" s="25"/>
    </row>
    <row r="720">
      <c r="E720" s="25"/>
    </row>
    <row r="721">
      <c r="E721" s="25"/>
    </row>
    <row r="722">
      <c r="E722" s="25"/>
    </row>
    <row r="723">
      <c r="E723" s="25"/>
    </row>
    <row r="724">
      <c r="E724" s="25"/>
    </row>
    <row r="725">
      <c r="E725" s="25"/>
    </row>
    <row r="726">
      <c r="E726" s="25"/>
    </row>
    <row r="727">
      <c r="E727" s="25"/>
    </row>
    <row r="728">
      <c r="E728" s="25"/>
    </row>
    <row r="729">
      <c r="E729" s="25"/>
    </row>
    <row r="730">
      <c r="E730" s="25"/>
    </row>
    <row r="731">
      <c r="E731" s="25"/>
    </row>
    <row r="732">
      <c r="E732" s="25"/>
    </row>
    <row r="733">
      <c r="E733" s="25"/>
    </row>
    <row r="734">
      <c r="E734" s="25"/>
    </row>
    <row r="735">
      <c r="E735" s="25"/>
    </row>
    <row r="736">
      <c r="E736" s="25"/>
    </row>
    <row r="737">
      <c r="E737" s="25"/>
    </row>
    <row r="738">
      <c r="E738" s="25"/>
    </row>
    <row r="739">
      <c r="E739" s="25"/>
    </row>
    <row r="740">
      <c r="E740" s="25"/>
    </row>
    <row r="741">
      <c r="E741" s="25"/>
    </row>
    <row r="742">
      <c r="E742" s="25"/>
    </row>
    <row r="743">
      <c r="E743" s="25"/>
    </row>
    <row r="744">
      <c r="E744" s="25"/>
    </row>
    <row r="745">
      <c r="E745" s="25"/>
    </row>
    <row r="746">
      <c r="E746" s="25"/>
    </row>
    <row r="747">
      <c r="E747" s="25"/>
    </row>
    <row r="748">
      <c r="E748" s="25"/>
    </row>
    <row r="749">
      <c r="E749" s="25"/>
    </row>
    <row r="750">
      <c r="E750" s="25"/>
    </row>
    <row r="751">
      <c r="E751" s="25"/>
    </row>
    <row r="752">
      <c r="E752" s="25"/>
    </row>
    <row r="753">
      <c r="E753" s="25"/>
    </row>
    <row r="754">
      <c r="E754" s="25"/>
    </row>
    <row r="755">
      <c r="E755" s="25"/>
    </row>
    <row r="756">
      <c r="E756" s="25"/>
    </row>
    <row r="757">
      <c r="E757" s="25"/>
    </row>
    <row r="758">
      <c r="E758" s="25"/>
    </row>
    <row r="759">
      <c r="E759" s="25"/>
    </row>
    <row r="760">
      <c r="E760" s="25"/>
    </row>
    <row r="761">
      <c r="E761" s="25"/>
    </row>
    <row r="762">
      <c r="E762" s="25"/>
    </row>
    <row r="763">
      <c r="E763" s="25"/>
    </row>
    <row r="764">
      <c r="E764" s="25"/>
    </row>
    <row r="765">
      <c r="E765" s="25"/>
    </row>
    <row r="766">
      <c r="E766" s="25"/>
    </row>
    <row r="767">
      <c r="E767" s="25"/>
    </row>
    <row r="768">
      <c r="E768" s="25"/>
    </row>
    <row r="769">
      <c r="E769" s="25"/>
    </row>
    <row r="770">
      <c r="E770" s="25"/>
    </row>
    <row r="771">
      <c r="E771" s="25"/>
    </row>
    <row r="772">
      <c r="E772" s="25"/>
    </row>
    <row r="773">
      <c r="E773" s="25"/>
    </row>
    <row r="774">
      <c r="E774" s="25"/>
    </row>
    <row r="775">
      <c r="E775" s="25"/>
    </row>
    <row r="776">
      <c r="E776" s="25"/>
    </row>
    <row r="777">
      <c r="E777" s="25"/>
    </row>
    <row r="778">
      <c r="E778" s="25"/>
    </row>
    <row r="779">
      <c r="E779" s="25"/>
    </row>
    <row r="780">
      <c r="E780" s="25"/>
    </row>
    <row r="781">
      <c r="E781" s="25"/>
    </row>
    <row r="782">
      <c r="E782" s="25"/>
    </row>
    <row r="783">
      <c r="E783" s="25"/>
    </row>
    <row r="784">
      <c r="E784" s="25"/>
    </row>
    <row r="785">
      <c r="E785" s="25"/>
    </row>
    <row r="786">
      <c r="E786" s="25"/>
    </row>
    <row r="787">
      <c r="E787" s="25"/>
    </row>
    <row r="788">
      <c r="E788" s="25"/>
    </row>
    <row r="789">
      <c r="E789" s="25"/>
    </row>
    <row r="790">
      <c r="E790" s="25"/>
    </row>
    <row r="791">
      <c r="E791" s="25"/>
    </row>
    <row r="792">
      <c r="E792" s="25"/>
    </row>
    <row r="793">
      <c r="E793" s="25"/>
    </row>
    <row r="794">
      <c r="E794" s="25"/>
    </row>
    <row r="795">
      <c r="E795" s="25"/>
    </row>
    <row r="796">
      <c r="E796" s="25"/>
    </row>
    <row r="797">
      <c r="E797" s="25"/>
    </row>
    <row r="798">
      <c r="E798" s="25"/>
    </row>
    <row r="799">
      <c r="E799" s="25"/>
    </row>
    <row r="800">
      <c r="E800" s="25"/>
    </row>
    <row r="801">
      <c r="E801" s="25"/>
    </row>
    <row r="802">
      <c r="E802" s="25"/>
    </row>
    <row r="803">
      <c r="E803" s="25"/>
    </row>
    <row r="804">
      <c r="E804" s="25"/>
    </row>
    <row r="805">
      <c r="E805" s="25"/>
    </row>
    <row r="806">
      <c r="E806" s="25"/>
    </row>
    <row r="807">
      <c r="E807" s="25"/>
    </row>
    <row r="808">
      <c r="E808" s="25"/>
    </row>
    <row r="809">
      <c r="E809" s="25"/>
    </row>
    <row r="810">
      <c r="E810" s="25"/>
    </row>
    <row r="811">
      <c r="E811" s="25"/>
    </row>
    <row r="812">
      <c r="E812" s="25"/>
    </row>
    <row r="813">
      <c r="E813" s="25"/>
    </row>
    <row r="814">
      <c r="E814" s="25"/>
    </row>
    <row r="815">
      <c r="E815" s="25"/>
    </row>
    <row r="816">
      <c r="E816" s="25"/>
    </row>
    <row r="817">
      <c r="E817" s="25"/>
    </row>
    <row r="818">
      <c r="E818" s="25"/>
    </row>
    <row r="819">
      <c r="E819" s="25"/>
    </row>
    <row r="820">
      <c r="E820" s="25"/>
    </row>
    <row r="821">
      <c r="E821" s="25"/>
    </row>
    <row r="822">
      <c r="E822" s="25"/>
    </row>
    <row r="823">
      <c r="E823" s="25"/>
    </row>
    <row r="824">
      <c r="E824" s="25"/>
    </row>
    <row r="825">
      <c r="E825" s="25"/>
    </row>
    <row r="826">
      <c r="E826" s="25"/>
    </row>
    <row r="827">
      <c r="E827" s="25"/>
    </row>
    <row r="828">
      <c r="E828" s="25"/>
    </row>
    <row r="829">
      <c r="E829" s="25"/>
    </row>
    <row r="830">
      <c r="E830" s="25"/>
    </row>
    <row r="831">
      <c r="E831" s="25"/>
    </row>
    <row r="832">
      <c r="E832" s="25"/>
    </row>
    <row r="833">
      <c r="E833" s="25"/>
    </row>
    <row r="834">
      <c r="E834" s="25"/>
    </row>
    <row r="835">
      <c r="E835" s="25"/>
    </row>
    <row r="836">
      <c r="E836" s="25"/>
    </row>
    <row r="837">
      <c r="E837" s="25"/>
    </row>
    <row r="838">
      <c r="E838" s="25"/>
    </row>
    <row r="839">
      <c r="E839" s="25"/>
    </row>
    <row r="840">
      <c r="E840" s="25"/>
    </row>
    <row r="841">
      <c r="E841" s="25"/>
    </row>
    <row r="842">
      <c r="E842" s="25"/>
    </row>
    <row r="843">
      <c r="E843" s="25"/>
    </row>
    <row r="844">
      <c r="E844" s="25"/>
    </row>
    <row r="845">
      <c r="E845" s="25"/>
    </row>
    <row r="846">
      <c r="E846" s="25"/>
    </row>
    <row r="847">
      <c r="E847" s="25"/>
    </row>
    <row r="848">
      <c r="E848" s="25"/>
    </row>
    <row r="849">
      <c r="E849" s="25"/>
    </row>
    <row r="850">
      <c r="E850" s="25"/>
    </row>
    <row r="851">
      <c r="E851" s="25"/>
    </row>
    <row r="852">
      <c r="E852" s="25"/>
    </row>
    <row r="853">
      <c r="E853" s="25"/>
    </row>
    <row r="854">
      <c r="E854" s="25"/>
    </row>
    <row r="855">
      <c r="E855" s="25"/>
    </row>
    <row r="856">
      <c r="E856" s="25"/>
    </row>
    <row r="857">
      <c r="E857" s="25"/>
    </row>
    <row r="858">
      <c r="E858" s="25"/>
    </row>
    <row r="859">
      <c r="E859" s="25"/>
    </row>
    <row r="860">
      <c r="E860" s="25"/>
    </row>
    <row r="861">
      <c r="E861" s="25"/>
    </row>
    <row r="862">
      <c r="E862" s="25"/>
    </row>
    <row r="863">
      <c r="E863" s="25"/>
    </row>
    <row r="864">
      <c r="E864" s="25"/>
    </row>
    <row r="865">
      <c r="E865" s="25"/>
    </row>
    <row r="866">
      <c r="E866" s="25"/>
    </row>
    <row r="867">
      <c r="E867" s="25"/>
    </row>
    <row r="868">
      <c r="E868" s="25"/>
    </row>
    <row r="869">
      <c r="E869" s="25"/>
    </row>
    <row r="870">
      <c r="E870" s="25"/>
    </row>
    <row r="871">
      <c r="E871" s="25"/>
    </row>
    <row r="872">
      <c r="E872" s="25"/>
    </row>
    <row r="873">
      <c r="E873" s="25"/>
    </row>
    <row r="874">
      <c r="E874" s="25"/>
    </row>
    <row r="875">
      <c r="E875" s="25"/>
    </row>
    <row r="876">
      <c r="E876" s="25"/>
    </row>
    <row r="877">
      <c r="E877" s="25"/>
    </row>
    <row r="878">
      <c r="E878" s="25"/>
    </row>
    <row r="879">
      <c r="E879" s="25"/>
    </row>
    <row r="880">
      <c r="E880" s="25"/>
    </row>
    <row r="881">
      <c r="E881" s="25"/>
    </row>
    <row r="882">
      <c r="E882" s="25"/>
    </row>
    <row r="883">
      <c r="E883" s="25"/>
    </row>
    <row r="884">
      <c r="E884" s="25"/>
    </row>
    <row r="885">
      <c r="E885" s="25"/>
    </row>
    <row r="886">
      <c r="E886" s="25"/>
    </row>
    <row r="887">
      <c r="E887" s="25"/>
    </row>
    <row r="888">
      <c r="E888" s="25"/>
    </row>
    <row r="889">
      <c r="E889" s="25"/>
    </row>
    <row r="890">
      <c r="E890" s="25"/>
    </row>
    <row r="891">
      <c r="E891" s="25"/>
    </row>
    <row r="892">
      <c r="E892" s="25"/>
    </row>
    <row r="893">
      <c r="E893" s="25"/>
    </row>
    <row r="894">
      <c r="E894" s="25"/>
    </row>
    <row r="895">
      <c r="E895" s="25"/>
    </row>
    <row r="896">
      <c r="E896" s="25"/>
    </row>
    <row r="897">
      <c r="E897" s="25"/>
    </row>
    <row r="898">
      <c r="E898" s="25"/>
    </row>
    <row r="899">
      <c r="E899" s="25"/>
    </row>
    <row r="900">
      <c r="E900" s="25"/>
    </row>
    <row r="901">
      <c r="E901" s="25"/>
    </row>
    <row r="902">
      <c r="E902" s="25"/>
    </row>
    <row r="903">
      <c r="E903" s="25"/>
    </row>
    <row r="904">
      <c r="E904" s="25"/>
    </row>
    <row r="905">
      <c r="E905" s="25"/>
    </row>
    <row r="906">
      <c r="E906" s="25"/>
    </row>
    <row r="907">
      <c r="E907" s="25"/>
    </row>
    <row r="908">
      <c r="E908" s="25"/>
    </row>
    <row r="909">
      <c r="E909" s="25"/>
    </row>
    <row r="910">
      <c r="E910" s="25"/>
    </row>
    <row r="911">
      <c r="E911" s="25"/>
    </row>
    <row r="912">
      <c r="E912" s="25"/>
    </row>
    <row r="913">
      <c r="E913" s="25"/>
    </row>
    <row r="914">
      <c r="E914" s="25"/>
    </row>
    <row r="915">
      <c r="E915" s="25"/>
    </row>
    <row r="916">
      <c r="E916" s="25"/>
    </row>
    <row r="917">
      <c r="E917" s="25"/>
    </row>
    <row r="918">
      <c r="E918" s="25"/>
    </row>
    <row r="919">
      <c r="E919" s="25"/>
    </row>
    <row r="920">
      <c r="E920" s="25"/>
    </row>
    <row r="921">
      <c r="E921" s="25"/>
    </row>
    <row r="922">
      <c r="E922" s="25"/>
    </row>
    <row r="923">
      <c r="E923" s="25"/>
    </row>
    <row r="924">
      <c r="E924" s="25"/>
    </row>
    <row r="925">
      <c r="E925" s="25"/>
    </row>
    <row r="926">
      <c r="E926" s="25"/>
    </row>
    <row r="927">
      <c r="E927" s="25"/>
    </row>
    <row r="928">
      <c r="E928" s="25"/>
    </row>
    <row r="929">
      <c r="E929" s="25"/>
    </row>
    <row r="930">
      <c r="E930" s="25"/>
    </row>
    <row r="931">
      <c r="E931" s="25"/>
    </row>
    <row r="932">
      <c r="E932" s="25"/>
    </row>
    <row r="933">
      <c r="E933" s="25"/>
    </row>
    <row r="934">
      <c r="E934" s="25"/>
    </row>
    <row r="935">
      <c r="E935" s="25"/>
    </row>
    <row r="936">
      <c r="E936" s="25"/>
    </row>
    <row r="937">
      <c r="E937" s="25"/>
    </row>
    <row r="938">
      <c r="E938" s="25"/>
    </row>
    <row r="939">
      <c r="E939" s="25"/>
    </row>
    <row r="940">
      <c r="E940" s="25"/>
    </row>
    <row r="941">
      <c r="E941" s="25"/>
    </row>
    <row r="942">
      <c r="E942" s="25"/>
    </row>
    <row r="943">
      <c r="E943" s="25"/>
    </row>
    <row r="944">
      <c r="E944" s="25"/>
    </row>
    <row r="945">
      <c r="E945" s="25"/>
    </row>
    <row r="946">
      <c r="E946" s="25"/>
    </row>
    <row r="947">
      <c r="E947" s="25"/>
    </row>
    <row r="948">
      <c r="E948" s="25"/>
    </row>
    <row r="949">
      <c r="E949" s="25"/>
    </row>
    <row r="950">
      <c r="E950" s="25"/>
    </row>
    <row r="951">
      <c r="E951" s="25"/>
    </row>
    <row r="952">
      <c r="E952" s="25"/>
    </row>
    <row r="953">
      <c r="E953" s="25"/>
    </row>
    <row r="954">
      <c r="E954" s="25"/>
    </row>
    <row r="955">
      <c r="E955" s="25"/>
    </row>
    <row r="956">
      <c r="E956" s="25"/>
    </row>
    <row r="957">
      <c r="E957" s="25"/>
    </row>
    <row r="958">
      <c r="E958" s="25"/>
    </row>
    <row r="959">
      <c r="E959" s="25"/>
    </row>
    <row r="960">
      <c r="E960" s="25"/>
    </row>
    <row r="961">
      <c r="E961" s="25"/>
    </row>
    <row r="962">
      <c r="E962" s="25"/>
    </row>
    <row r="963">
      <c r="E963" s="25"/>
    </row>
    <row r="964">
      <c r="E964" s="25"/>
    </row>
    <row r="965">
      <c r="E965" s="25"/>
    </row>
    <row r="966">
      <c r="E966" s="25"/>
    </row>
    <row r="967">
      <c r="E967" s="25"/>
    </row>
    <row r="968">
      <c r="E968" s="25"/>
    </row>
    <row r="969">
      <c r="E969" s="25"/>
    </row>
    <row r="970">
      <c r="E970" s="25"/>
    </row>
    <row r="971">
      <c r="E971" s="25"/>
    </row>
    <row r="972">
      <c r="E972" s="25"/>
    </row>
    <row r="973">
      <c r="E973" s="25"/>
    </row>
    <row r="974">
      <c r="E974" s="25"/>
    </row>
    <row r="975">
      <c r="E975" s="25"/>
    </row>
    <row r="976">
      <c r="E976" s="25"/>
    </row>
    <row r="977">
      <c r="E977" s="25"/>
    </row>
    <row r="978">
      <c r="E978" s="25"/>
    </row>
    <row r="979">
      <c r="E979" s="25"/>
    </row>
    <row r="980">
      <c r="E980" s="25"/>
    </row>
    <row r="981">
      <c r="E981" s="25"/>
    </row>
    <row r="982">
      <c r="E982" s="25"/>
    </row>
    <row r="983">
      <c r="E983" s="25"/>
    </row>
    <row r="984">
      <c r="E984" s="25"/>
    </row>
    <row r="985">
      <c r="E985" s="25"/>
    </row>
    <row r="986">
      <c r="E986" s="25"/>
    </row>
    <row r="987">
      <c r="E987" s="25"/>
    </row>
    <row r="988">
      <c r="E988" s="25"/>
    </row>
    <row r="989">
      <c r="E989" s="25"/>
    </row>
    <row r="990">
      <c r="E990" s="25"/>
    </row>
    <row r="991">
      <c r="E991" s="25"/>
    </row>
    <row r="992">
      <c r="E992" s="25"/>
    </row>
    <row r="993">
      <c r="E993" s="25"/>
    </row>
    <row r="994">
      <c r="E994" s="25"/>
    </row>
    <row r="995">
      <c r="E995" s="25"/>
    </row>
    <row r="996">
      <c r="E996" s="25"/>
    </row>
    <row r="997">
      <c r="E997" s="25"/>
    </row>
    <row r="998">
      <c r="E998" s="25"/>
    </row>
    <row r="999">
      <c r="E999" s="25"/>
    </row>
    <row r="1000">
      <c r="E1000" s="2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2025-10-14T02:55:35Z</dcterms:created>
  <dc:creator>openpyxl</dc:creator>
</cp:coreProperties>
</file>