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ekan5" sheetId="2" r:id="rId5"/>
  </sheets>
  <definedNames/>
  <calcPr/>
  <extLst>
    <ext uri="GoogleSheetsCustomDataVersion2">
      <go:sheetsCustomData xmlns:go="http://customooxmlschemas.google.com/" r:id="rId6" roundtripDataChecksum="k1WacRodOi4KFWmJI5dPJRT9LzpKk5xaIx7xHlgIuHc="/>
    </ext>
  </extLst>
</workbook>
</file>

<file path=xl/sharedStrings.xml><?xml version="1.0" encoding="utf-8"?>
<sst xmlns="http://schemas.openxmlformats.org/spreadsheetml/2006/main" count="476" uniqueCount="185">
  <si>
    <t>ID</t>
  </si>
  <si>
    <t>Nama</t>
  </si>
  <si>
    <t>Usia</t>
  </si>
  <si>
    <t>Kota</t>
  </si>
  <si>
    <t>Pendapatan</t>
  </si>
  <si>
    <t>Status</t>
  </si>
  <si>
    <t>Tanggal Daftar</t>
  </si>
  <si>
    <t>Tahun_Daftar</t>
  </si>
  <si>
    <t>Bulan_Daftar</t>
  </si>
  <si>
    <t>Hari_Daftar</t>
  </si>
  <si>
    <t>Pengguna_118</t>
  </si>
  <si>
    <t>yogyakarta</t>
  </si>
  <si>
    <t>Aktif</t>
  </si>
  <si>
    <t>Pengguna_29</t>
  </si>
  <si>
    <t>jakarta</t>
  </si>
  <si>
    <t>Pengguna_119</t>
  </si>
  <si>
    <t>medan</t>
  </si>
  <si>
    <t>Pengguna_44</t>
  </si>
  <si>
    <t>makassar</t>
  </si>
  <si>
    <t>Tidak Aktif</t>
  </si>
  <si>
    <t>Pengguna_124</t>
  </si>
  <si>
    <t>bandung</t>
  </si>
  <si>
    <t>Pending</t>
  </si>
  <si>
    <t>Pengguna_110</t>
  </si>
  <si>
    <t>surabaya</t>
  </si>
  <si>
    <t>Pengguna_99</t>
  </si>
  <si>
    <t>semarang</t>
  </si>
  <si>
    <t>Pengguna_62</t>
  </si>
  <si>
    <t>Pengguna_49</t>
  </si>
  <si>
    <t>Pengguna_22</t>
  </si>
  <si>
    <t>Pengguna_70</t>
  </si>
  <si>
    <t>Pengguna_42</t>
  </si>
  <si>
    <t>palembang</t>
  </si>
  <si>
    <t>Pengguna_57</t>
  </si>
  <si>
    <t>Pengguna_148</t>
  </si>
  <si>
    <t>Pengguna_143</t>
  </si>
  <si>
    <t>Pengguna_134</t>
  </si>
  <si>
    <t>Pengguna_139</t>
  </si>
  <si>
    <t>Pengguna_60</t>
  </si>
  <si>
    <t>Pengguna_20</t>
  </si>
  <si>
    <t>Pengguna_92</t>
  </si>
  <si>
    <t>Pengguna_51</t>
  </si>
  <si>
    <t>Pengguna_127</t>
  </si>
  <si>
    <t>Pengguna_135</t>
  </si>
  <si>
    <t>Pengguna_98</t>
  </si>
  <si>
    <t>Pengguna_87</t>
  </si>
  <si>
    <t>Pengguna_136</t>
  </si>
  <si>
    <t>Pengguna_3</t>
  </si>
  <si>
    <t>Pengguna_131</t>
  </si>
  <si>
    <t>Pengguna_108</t>
  </si>
  <si>
    <t>Pengguna_53</t>
  </si>
  <si>
    <t>Pengguna_61</t>
  </si>
  <si>
    <t>Pengguna_67</t>
  </si>
  <si>
    <t>Pengguna_91</t>
  </si>
  <si>
    <t>Pengguna_63</t>
  </si>
  <si>
    <t>Pengguna_72</t>
  </si>
  <si>
    <t>Pengguna_129</t>
  </si>
  <si>
    <t>Pengguna_38</t>
  </si>
  <si>
    <t>Pengguna_138</t>
  </si>
  <si>
    <t>Pengguna_12</t>
  </si>
  <si>
    <t>Pengguna_104</t>
  </si>
  <si>
    <t>Pengguna_146</t>
  </si>
  <si>
    <t>Pengguna_2</t>
  </si>
  <si>
    <t>Pengguna_64</t>
  </si>
  <si>
    <t>Pengguna_25</t>
  </si>
  <si>
    <t>Pengguna_10</t>
  </si>
  <si>
    <t>Pengguna_66</t>
  </si>
  <si>
    <t>Pengguna_133</t>
  </si>
  <si>
    <t>Pengguna_97</t>
  </si>
  <si>
    <t>Pengguna_74</t>
  </si>
  <si>
    <t>Pengguna_84</t>
  </si>
  <si>
    <t>Pengguna_54</t>
  </si>
  <si>
    <t>Pengguna_18</t>
  </si>
  <si>
    <t>Pengguna_103</t>
  </si>
  <si>
    <t>Pengguna_89</t>
  </si>
  <si>
    <t>Pengguna_19</t>
  </si>
  <si>
    <t>Pengguna_95</t>
  </si>
  <si>
    <t>Pengguna_24</t>
  </si>
  <si>
    <t>Pengguna_52</t>
  </si>
  <si>
    <t>Pengguna_123</t>
  </si>
  <si>
    <t>Pengguna_100</t>
  </si>
  <si>
    <t>Pengguna_77</t>
  </si>
  <si>
    <t>Pengguna_68</t>
  </si>
  <si>
    <t>Pengguna_150</t>
  </si>
  <si>
    <t>Pengguna_81</t>
  </si>
  <si>
    <t>Pengguna_17</t>
  </si>
  <si>
    <t>Pengguna_73</t>
  </si>
  <si>
    <t>Pengguna_28</t>
  </si>
  <si>
    <t>Pengguna_86</t>
  </si>
  <si>
    <t>Pengguna_30</t>
  </si>
  <si>
    <t>Pengguna_83</t>
  </si>
  <si>
    <t>Pengguna_55</t>
  </si>
  <si>
    <t>Pengguna_114</t>
  </si>
  <si>
    <t>Pengguna_45</t>
  </si>
  <si>
    <t>Pengguna_33</t>
  </si>
  <si>
    <t>Pengguna_149</t>
  </si>
  <si>
    <t>Pengguna_78</t>
  </si>
  <si>
    <t>Pengguna_16</t>
  </si>
  <si>
    <t>Pengguna_113</t>
  </si>
  <si>
    <t>Pengguna_31</t>
  </si>
  <si>
    <t>Pengguna_6</t>
  </si>
  <si>
    <t>Pengguna_59</t>
  </si>
  <si>
    <t>Pengguna_88</t>
  </si>
  <si>
    <t>Pengguna_96</t>
  </si>
  <si>
    <t>Pengguna_116</t>
  </si>
  <si>
    <t>Pengguna_11</t>
  </si>
  <si>
    <t>Pengguna_132</t>
  </si>
  <si>
    <t>Pengguna_80</t>
  </si>
  <si>
    <t>Pengguna_65</t>
  </si>
  <si>
    <t>Pengguna_26</t>
  </si>
  <si>
    <t>Pengguna_140</t>
  </si>
  <si>
    <t>Pengguna_130</t>
  </si>
  <si>
    <t>Pengguna_142</t>
  </si>
  <si>
    <t>Pengguna_27</t>
  </si>
  <si>
    <t>Pengguna_15</t>
  </si>
  <si>
    <t>Pengguna_90</t>
  </si>
  <si>
    <t>Pengguna_137</t>
  </si>
  <si>
    <t>Pengguna_111</t>
  </si>
  <si>
    <t>Pengguna_23</t>
  </si>
  <si>
    <t>Pengguna_4</t>
  </si>
  <si>
    <t>Pengguna_121</t>
  </si>
  <si>
    <t>Pengguna_94</t>
  </si>
  <si>
    <t>Pengguna_107</t>
  </si>
  <si>
    <t>Pengguna_144</t>
  </si>
  <si>
    <t>Pengguna_34</t>
  </si>
  <si>
    <t>Pengguna_93</t>
  </si>
  <si>
    <t>Pengguna_43</t>
  </si>
  <si>
    <t>Pengguna_50</t>
  </si>
  <si>
    <t>Pengguna_21</t>
  </si>
  <si>
    <t>Pengguna_46</t>
  </si>
  <si>
    <t>Pengguna_120</t>
  </si>
  <si>
    <t>Pengguna_5</t>
  </si>
  <si>
    <t>Pengguna_105</t>
  </si>
  <si>
    <t>Pengguna_106</t>
  </si>
  <si>
    <t>Pengguna_145</t>
  </si>
  <si>
    <t>Pengguna_32</t>
  </si>
  <si>
    <t>Pengguna_126</t>
  </si>
  <si>
    <t>Pengguna_102</t>
  </si>
  <si>
    <t>Pengguna_14</t>
  </si>
  <si>
    <t>Pengguna_7</t>
  </si>
  <si>
    <t>Pengguna_125</t>
  </si>
  <si>
    <t>Pengguna_147</t>
  </si>
  <si>
    <t>Pengguna_75</t>
  </si>
  <si>
    <t>Pengguna_9</t>
  </si>
  <si>
    <t>Pengguna_128</t>
  </si>
  <si>
    <t>Pengguna_37</t>
  </si>
  <si>
    <t>Pengguna_117</t>
  </si>
  <si>
    <t>Pengguna_36</t>
  </si>
  <si>
    <t>Pengguna_56</t>
  </si>
  <si>
    <t>Pengguna_58</t>
  </si>
  <si>
    <t>Pengguna_115</t>
  </si>
  <si>
    <t>Pengguna_79</t>
  </si>
  <si>
    <t>Pengguna_82</t>
  </si>
  <si>
    <t>Pengguna_101</t>
  </si>
  <si>
    <t>Pengguna_48</t>
  </si>
  <si>
    <t>Pengguna_47</t>
  </si>
  <si>
    <t>Pengguna_141</t>
  </si>
  <si>
    <t>Pengguna_39</t>
  </si>
  <si>
    <t>Pengguna_112</t>
  </si>
  <si>
    <t>Pengguna_76</t>
  </si>
  <si>
    <t>Pengguna_122</t>
  </si>
  <si>
    <t>Pengguna_85</t>
  </si>
  <si>
    <t>Pengguna_109</t>
  </si>
  <si>
    <t>Pengguna_71</t>
  </si>
  <si>
    <t>Pengguna_40</t>
  </si>
  <si>
    <t>Pengguna_41</t>
  </si>
  <si>
    <t>Pengguna_8</t>
  </si>
  <si>
    <t>Pengguna_35</t>
  </si>
  <si>
    <t>Pengguna_13</t>
  </si>
  <si>
    <t>Pengguna_1</t>
  </si>
  <si>
    <t>Pengguna_69</t>
  </si>
  <si>
    <t>Usia X Pendapatan</t>
  </si>
  <si>
    <t>Usia^2</t>
  </si>
  <si>
    <t>Pendapatan^2</t>
  </si>
  <si>
    <t>Total xy</t>
  </si>
  <si>
    <t>Total x</t>
  </si>
  <si>
    <t>Total y</t>
  </si>
  <si>
    <t>Total x^2</t>
  </si>
  <si>
    <t>Totaal y^2</t>
  </si>
  <si>
    <t>Banyak Data</t>
  </si>
  <si>
    <t>SSxy</t>
  </si>
  <si>
    <t>SSXX</t>
  </si>
  <si>
    <t>SSyy</t>
  </si>
  <si>
    <t>r</t>
  </si>
  <si>
    <t>R^2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</si>
</sst>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0.00000E+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5" xfId="0" applyBorder="1" applyFont="1" applyNumberFormat="1"/>
    <xf borderId="0" fillId="0" fontId="2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8.71"/>
    <col customWidth="1" min="4" max="4" width="10.57"/>
    <col customWidth="1" min="5" max="5" width="11.57"/>
    <col customWidth="1" min="6" max="6" width="10.14"/>
    <col customWidth="1" min="7" max="7" width="18.86"/>
    <col customWidth="1" min="8" max="8" width="12.86"/>
    <col customWidth="1" min="9" max="9" width="12.57"/>
    <col customWidth="1" min="10" max="10" width="1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118.0</v>
      </c>
      <c r="B2" s="2" t="s">
        <v>10</v>
      </c>
      <c r="C2" s="2">
        <v>51.0</v>
      </c>
      <c r="D2" s="2" t="s">
        <v>11</v>
      </c>
      <c r="E2" s="2">
        <v>9819256.0</v>
      </c>
      <c r="F2" s="2" t="s">
        <v>12</v>
      </c>
      <c r="G2" s="3">
        <v>45103.0</v>
      </c>
      <c r="H2" s="2">
        <v>2023.0</v>
      </c>
      <c r="I2" s="2">
        <v>6.0</v>
      </c>
      <c r="J2" s="2">
        <v>26.0</v>
      </c>
    </row>
    <row r="3">
      <c r="A3" s="2">
        <v>29.0</v>
      </c>
      <c r="B3" s="2" t="s">
        <v>13</v>
      </c>
      <c r="C3" s="2">
        <v>37.0</v>
      </c>
      <c r="D3" s="2" t="s">
        <v>14</v>
      </c>
      <c r="E3" s="2">
        <v>4991886.0</v>
      </c>
      <c r="F3" s="2" t="s">
        <v>12</v>
      </c>
      <c r="G3" s="3">
        <v>45127.0</v>
      </c>
      <c r="H3" s="2">
        <v>2023.0</v>
      </c>
      <c r="I3" s="2">
        <v>7.0</v>
      </c>
      <c r="J3" s="2">
        <v>20.0</v>
      </c>
    </row>
    <row r="4">
      <c r="A4" s="2">
        <v>119.0</v>
      </c>
      <c r="B4" s="2" t="s">
        <v>15</v>
      </c>
      <c r="C4" s="2">
        <v>31.0</v>
      </c>
      <c r="D4" s="2" t="s">
        <v>16</v>
      </c>
      <c r="E4" s="2">
        <v>1.9094979E7</v>
      </c>
      <c r="F4" s="2" t="s">
        <v>12</v>
      </c>
      <c r="G4" s="3">
        <v>45063.0</v>
      </c>
      <c r="H4" s="2">
        <v>2023.0</v>
      </c>
      <c r="I4" s="2">
        <v>5.0</v>
      </c>
      <c r="J4" s="2">
        <v>17.0</v>
      </c>
    </row>
    <row r="5">
      <c r="A5" s="2">
        <v>44.0</v>
      </c>
      <c r="B5" s="2" t="s">
        <v>17</v>
      </c>
      <c r="C5" s="2">
        <v>54.0</v>
      </c>
      <c r="D5" s="2" t="s">
        <v>18</v>
      </c>
      <c r="E5" s="2">
        <v>1.5843052E7</v>
      </c>
      <c r="F5" s="2" t="s">
        <v>19</v>
      </c>
      <c r="G5" s="3">
        <v>45056.0</v>
      </c>
      <c r="H5" s="2">
        <v>2023.0</v>
      </c>
      <c r="I5" s="2">
        <v>5.0</v>
      </c>
      <c r="J5" s="2">
        <v>10.0</v>
      </c>
    </row>
    <row r="6">
      <c r="A6" s="2">
        <v>124.0</v>
      </c>
      <c r="B6" s="2" t="s">
        <v>20</v>
      </c>
      <c r="C6" s="2">
        <v>26.0</v>
      </c>
      <c r="D6" s="2" t="s">
        <v>21</v>
      </c>
      <c r="E6" s="2">
        <v>2.0E7</v>
      </c>
      <c r="F6" s="2" t="s">
        <v>22</v>
      </c>
      <c r="G6" s="3">
        <v>45051.0</v>
      </c>
      <c r="H6" s="2">
        <v>2023.0</v>
      </c>
      <c r="I6" s="2">
        <v>5.0</v>
      </c>
      <c r="J6" s="2">
        <v>5.0</v>
      </c>
    </row>
    <row r="7">
      <c r="A7" s="2">
        <v>110.0</v>
      </c>
      <c r="B7" s="2" t="s">
        <v>23</v>
      </c>
      <c r="C7" s="2">
        <v>23.0</v>
      </c>
      <c r="D7" s="2" t="s">
        <v>24</v>
      </c>
      <c r="E7" s="2">
        <v>1.9083912E7</v>
      </c>
      <c r="F7" s="2" t="s">
        <v>12</v>
      </c>
      <c r="G7" s="3">
        <v>44995.0</v>
      </c>
      <c r="H7" s="2">
        <v>2023.0</v>
      </c>
      <c r="I7" s="2">
        <v>3.0</v>
      </c>
      <c r="J7" s="2">
        <v>10.0</v>
      </c>
    </row>
    <row r="8">
      <c r="A8" s="2">
        <v>99.0</v>
      </c>
      <c r="B8" s="2" t="s">
        <v>25</v>
      </c>
      <c r="C8" s="2">
        <v>54.0</v>
      </c>
      <c r="D8" s="2" t="s">
        <v>26</v>
      </c>
      <c r="E8" s="2">
        <v>8936569.0</v>
      </c>
      <c r="F8" s="2" t="s">
        <v>19</v>
      </c>
      <c r="G8" s="3">
        <v>44940.0</v>
      </c>
      <c r="H8" s="2">
        <v>2023.0</v>
      </c>
      <c r="I8" s="2">
        <v>1.0</v>
      </c>
      <c r="J8" s="2">
        <v>14.0</v>
      </c>
    </row>
    <row r="9">
      <c r="A9" s="2">
        <v>62.0</v>
      </c>
      <c r="B9" s="2" t="s">
        <v>27</v>
      </c>
      <c r="C9" s="2">
        <v>51.0</v>
      </c>
      <c r="D9" s="2" t="s">
        <v>24</v>
      </c>
      <c r="E9" s="2">
        <v>1.1766009E7</v>
      </c>
      <c r="F9" s="2" t="s">
        <v>19</v>
      </c>
      <c r="G9" s="3">
        <v>45269.0</v>
      </c>
      <c r="H9" s="2">
        <v>2023.0</v>
      </c>
      <c r="I9" s="2">
        <v>12.0</v>
      </c>
      <c r="J9" s="2">
        <v>9.0</v>
      </c>
    </row>
    <row r="10">
      <c r="A10" s="2">
        <v>49.0</v>
      </c>
      <c r="B10" s="2" t="s">
        <v>28</v>
      </c>
      <c r="C10" s="2">
        <v>51.0</v>
      </c>
      <c r="D10" s="2" t="s">
        <v>26</v>
      </c>
      <c r="E10" s="2">
        <v>1.8099831E7</v>
      </c>
      <c r="F10" s="2" t="s">
        <v>12</v>
      </c>
      <c r="G10" s="3">
        <v>45255.0</v>
      </c>
      <c r="H10" s="2">
        <v>2023.0</v>
      </c>
      <c r="I10" s="2">
        <v>11.0</v>
      </c>
      <c r="J10" s="2">
        <v>25.0</v>
      </c>
    </row>
    <row r="11">
      <c r="A11" s="2">
        <v>22.0</v>
      </c>
      <c r="B11" s="2" t="s">
        <v>29</v>
      </c>
      <c r="C11" s="2">
        <v>35.0</v>
      </c>
      <c r="D11" s="2" t="s">
        <v>11</v>
      </c>
      <c r="E11" s="2">
        <v>1.4000239E7</v>
      </c>
      <c r="F11" s="2" t="s">
        <v>22</v>
      </c>
      <c r="G11" s="3">
        <v>45141.0</v>
      </c>
      <c r="H11" s="2">
        <v>2023.0</v>
      </c>
      <c r="I11" s="2">
        <v>8.0</v>
      </c>
      <c r="J11" s="2">
        <v>3.0</v>
      </c>
    </row>
    <row r="12">
      <c r="A12" s="2">
        <v>70.0</v>
      </c>
      <c r="B12" s="2" t="s">
        <v>30</v>
      </c>
      <c r="C12" s="2">
        <v>24.0</v>
      </c>
      <c r="D12" s="2" t="s">
        <v>24</v>
      </c>
      <c r="E12" s="2">
        <v>1.4715249E7</v>
      </c>
      <c r="F12" s="2" t="s">
        <v>19</v>
      </c>
      <c r="G12" s="3">
        <v>44961.0</v>
      </c>
      <c r="H12" s="2">
        <v>2023.0</v>
      </c>
      <c r="I12" s="2">
        <v>2.0</v>
      </c>
      <c r="J12" s="2">
        <v>4.0</v>
      </c>
    </row>
    <row r="13">
      <c r="A13" s="2">
        <v>42.0</v>
      </c>
      <c r="B13" s="2" t="s">
        <v>31</v>
      </c>
      <c r="C13" s="2">
        <v>21.0</v>
      </c>
      <c r="D13" s="2" t="s">
        <v>32</v>
      </c>
      <c r="E13" s="2">
        <v>1.774707E7</v>
      </c>
      <c r="F13" s="2" t="s">
        <v>19</v>
      </c>
      <c r="G13" s="3">
        <v>45228.0</v>
      </c>
      <c r="H13" s="2">
        <v>2023.0</v>
      </c>
      <c r="I13" s="2">
        <v>10.0</v>
      </c>
      <c r="J13" s="2">
        <v>29.0</v>
      </c>
    </row>
    <row r="14">
      <c r="A14" s="2">
        <v>57.0</v>
      </c>
      <c r="B14" s="2" t="s">
        <v>33</v>
      </c>
      <c r="C14" s="2">
        <v>29.0</v>
      </c>
      <c r="D14" s="2" t="s">
        <v>11</v>
      </c>
      <c r="E14" s="2">
        <v>1.1336918E7</v>
      </c>
      <c r="F14" s="2" t="s">
        <v>12</v>
      </c>
      <c r="G14" s="3">
        <v>45160.0</v>
      </c>
      <c r="H14" s="2">
        <v>2023.0</v>
      </c>
      <c r="I14" s="2">
        <v>8.0</v>
      </c>
      <c r="J14" s="2">
        <v>22.0</v>
      </c>
    </row>
    <row r="15">
      <c r="A15" s="2">
        <v>148.0</v>
      </c>
      <c r="B15" s="2" t="s">
        <v>34</v>
      </c>
      <c r="C15" s="2">
        <v>48.0</v>
      </c>
      <c r="D15" s="2" t="s">
        <v>21</v>
      </c>
      <c r="E15" s="2">
        <v>1.9604676E7</v>
      </c>
      <c r="F15" s="2" t="s">
        <v>22</v>
      </c>
      <c r="G15" s="3">
        <v>45201.0</v>
      </c>
      <c r="H15" s="2">
        <v>2023.0</v>
      </c>
      <c r="I15" s="2">
        <v>10.0</v>
      </c>
      <c r="J15" s="2">
        <v>2.0</v>
      </c>
    </row>
    <row r="16">
      <c r="A16" s="2">
        <v>143.0</v>
      </c>
      <c r="B16" s="2" t="s">
        <v>35</v>
      </c>
      <c r="C16" s="2">
        <v>38.0</v>
      </c>
      <c r="D16" s="2" t="s">
        <v>32</v>
      </c>
      <c r="E16" s="2">
        <v>1.5456081E7</v>
      </c>
      <c r="F16" s="2" t="s">
        <v>12</v>
      </c>
      <c r="G16" s="3">
        <v>45096.0</v>
      </c>
      <c r="H16" s="2">
        <v>2023.0</v>
      </c>
      <c r="I16" s="2">
        <v>6.0</v>
      </c>
      <c r="J16" s="2">
        <v>19.0</v>
      </c>
    </row>
    <row r="17">
      <c r="A17" s="2">
        <v>134.0</v>
      </c>
      <c r="B17" s="2" t="s">
        <v>36</v>
      </c>
      <c r="C17" s="2">
        <v>18.0</v>
      </c>
      <c r="D17" s="2" t="s">
        <v>32</v>
      </c>
      <c r="E17" s="2">
        <v>4273781.0</v>
      </c>
      <c r="F17" s="2" t="s">
        <v>12</v>
      </c>
      <c r="G17" s="3">
        <v>45111.0</v>
      </c>
      <c r="H17" s="2">
        <v>2023.0</v>
      </c>
      <c r="I17" s="2">
        <v>7.0</v>
      </c>
      <c r="J17" s="2">
        <v>4.0</v>
      </c>
    </row>
    <row r="18">
      <c r="A18" s="2">
        <v>139.0</v>
      </c>
      <c r="B18" s="2" t="s">
        <v>37</v>
      </c>
      <c r="C18" s="2">
        <v>19.0</v>
      </c>
      <c r="D18" s="2" t="s">
        <v>26</v>
      </c>
      <c r="E18" s="2">
        <v>1.6402061E7</v>
      </c>
      <c r="F18" s="2" t="s">
        <v>12</v>
      </c>
      <c r="G18" s="3">
        <v>45024.0</v>
      </c>
      <c r="H18" s="2">
        <v>2023.0</v>
      </c>
      <c r="I18" s="2">
        <v>4.0</v>
      </c>
      <c r="J18" s="2">
        <v>8.0</v>
      </c>
    </row>
    <row r="19">
      <c r="A19" s="2">
        <v>60.0</v>
      </c>
      <c r="B19" s="2" t="s">
        <v>38</v>
      </c>
      <c r="C19" s="2">
        <v>48.0</v>
      </c>
      <c r="D19" s="2" t="s">
        <v>26</v>
      </c>
      <c r="E19" s="2">
        <v>1.9309592E7</v>
      </c>
      <c r="F19" s="2" t="s">
        <v>12</v>
      </c>
      <c r="G19" s="3">
        <v>45052.0</v>
      </c>
      <c r="H19" s="2">
        <v>2023.0</v>
      </c>
      <c r="I19" s="2">
        <v>5.0</v>
      </c>
      <c r="J19" s="2">
        <v>6.0</v>
      </c>
    </row>
    <row r="20">
      <c r="A20" s="2">
        <v>20.0</v>
      </c>
      <c r="B20" s="2" t="s">
        <v>39</v>
      </c>
      <c r="C20" s="2">
        <v>56.0</v>
      </c>
      <c r="D20" s="2" t="s">
        <v>24</v>
      </c>
      <c r="E20" s="2">
        <v>1.7798272E7</v>
      </c>
      <c r="F20" s="2" t="s">
        <v>12</v>
      </c>
      <c r="G20" s="3">
        <v>45094.0</v>
      </c>
      <c r="H20" s="2">
        <v>2023.0</v>
      </c>
      <c r="I20" s="2">
        <v>6.0</v>
      </c>
      <c r="J20" s="2">
        <v>17.0</v>
      </c>
    </row>
    <row r="21" ht="15.75" customHeight="1">
      <c r="A21" s="2">
        <v>92.0</v>
      </c>
      <c r="B21" s="2" t="s">
        <v>40</v>
      </c>
      <c r="C21" s="2">
        <v>20.0</v>
      </c>
      <c r="D21" s="2" t="s">
        <v>14</v>
      </c>
      <c r="E21" s="2">
        <v>1.0027036E7</v>
      </c>
      <c r="F21" s="2" t="s">
        <v>12</v>
      </c>
      <c r="G21" s="3">
        <v>44950.0</v>
      </c>
      <c r="H21" s="2">
        <v>2023.0</v>
      </c>
      <c r="I21" s="2">
        <v>1.0</v>
      </c>
      <c r="J21" s="2">
        <v>24.0</v>
      </c>
    </row>
    <row r="22" ht="15.75" customHeight="1">
      <c r="A22" s="2">
        <v>51.0</v>
      </c>
      <c r="B22" s="2" t="s">
        <v>41</v>
      </c>
      <c r="C22" s="2">
        <v>59.0</v>
      </c>
      <c r="D22" s="2" t="s">
        <v>14</v>
      </c>
      <c r="E22" s="2">
        <v>1.9118158E7</v>
      </c>
      <c r="F22" s="2" t="s">
        <v>19</v>
      </c>
      <c r="G22" s="3">
        <v>45282.0</v>
      </c>
      <c r="H22" s="2">
        <v>2023.0</v>
      </c>
      <c r="I22" s="2">
        <v>12.0</v>
      </c>
      <c r="J22" s="2">
        <v>22.0</v>
      </c>
    </row>
    <row r="23" ht="15.75" customHeight="1">
      <c r="A23" s="2">
        <v>127.0</v>
      </c>
      <c r="B23" s="2" t="s">
        <v>42</v>
      </c>
      <c r="C23" s="2">
        <v>25.0</v>
      </c>
      <c r="D23" s="2" t="s">
        <v>26</v>
      </c>
      <c r="E23" s="2">
        <v>1.498406E7</v>
      </c>
      <c r="F23" s="2" t="s">
        <v>12</v>
      </c>
      <c r="G23" s="3">
        <v>45272.0</v>
      </c>
      <c r="H23" s="2">
        <v>2023.0</v>
      </c>
      <c r="I23" s="2">
        <v>12.0</v>
      </c>
      <c r="J23" s="2">
        <v>12.0</v>
      </c>
    </row>
    <row r="24" ht="15.75" customHeight="1">
      <c r="A24" s="2">
        <v>135.0</v>
      </c>
      <c r="B24" s="2" t="s">
        <v>43</v>
      </c>
      <c r="C24" s="2">
        <v>58.0</v>
      </c>
      <c r="D24" s="2" t="s">
        <v>24</v>
      </c>
      <c r="E24" s="2">
        <v>7428696.0</v>
      </c>
      <c r="F24" s="2" t="s">
        <v>12</v>
      </c>
      <c r="G24" s="3">
        <v>45091.0</v>
      </c>
      <c r="H24" s="2">
        <v>2023.0</v>
      </c>
      <c r="I24" s="2">
        <v>6.0</v>
      </c>
      <c r="J24" s="2">
        <v>14.0</v>
      </c>
    </row>
    <row r="25" ht="15.75" customHeight="1">
      <c r="A25" s="2">
        <v>98.0</v>
      </c>
      <c r="B25" s="2" t="s">
        <v>44</v>
      </c>
      <c r="C25" s="2">
        <v>50.0</v>
      </c>
      <c r="D25" s="2" t="s">
        <v>26</v>
      </c>
      <c r="E25" s="2">
        <v>3940656.0</v>
      </c>
      <c r="F25" s="2" t="s">
        <v>19</v>
      </c>
      <c r="G25" s="3">
        <v>45006.0</v>
      </c>
      <c r="H25" s="2">
        <v>2023.0</v>
      </c>
      <c r="I25" s="2">
        <v>3.0</v>
      </c>
      <c r="J25" s="2">
        <v>21.0</v>
      </c>
    </row>
    <row r="26" ht="15.75" customHeight="1">
      <c r="A26" s="2">
        <v>87.0</v>
      </c>
      <c r="B26" s="2" t="s">
        <v>45</v>
      </c>
      <c r="C26" s="2">
        <v>54.0</v>
      </c>
      <c r="D26" s="2" t="s">
        <v>14</v>
      </c>
      <c r="E26" s="2">
        <v>8341592.0</v>
      </c>
      <c r="F26" s="2" t="s">
        <v>12</v>
      </c>
      <c r="G26" s="3">
        <v>45156.0</v>
      </c>
      <c r="H26" s="2">
        <v>2023.0</v>
      </c>
      <c r="I26" s="2">
        <v>8.0</v>
      </c>
      <c r="J26" s="2">
        <v>18.0</v>
      </c>
    </row>
    <row r="27" ht="15.75" customHeight="1">
      <c r="A27" s="2">
        <v>136.0</v>
      </c>
      <c r="B27" s="2" t="s">
        <v>46</v>
      </c>
      <c r="C27" s="2">
        <v>36.0</v>
      </c>
      <c r="D27" s="2" t="s">
        <v>32</v>
      </c>
      <c r="E27" s="2">
        <v>1.5476588E7</v>
      </c>
      <c r="F27" s="2" t="s">
        <v>22</v>
      </c>
      <c r="G27" s="3">
        <v>45159.0</v>
      </c>
      <c r="H27" s="2">
        <v>2023.0</v>
      </c>
      <c r="I27" s="2">
        <v>8.0</v>
      </c>
      <c r="J27" s="2">
        <v>21.0</v>
      </c>
    </row>
    <row r="28" ht="15.75" customHeight="1">
      <c r="A28" s="2">
        <v>3.0</v>
      </c>
      <c r="B28" s="2" t="s">
        <v>47</v>
      </c>
      <c r="C28" s="2">
        <v>49.0</v>
      </c>
      <c r="D28" s="2" t="s">
        <v>24</v>
      </c>
      <c r="E28" s="2">
        <v>7341151.0</v>
      </c>
      <c r="F28" s="2" t="s">
        <v>19</v>
      </c>
      <c r="G28" s="3">
        <v>45180.0</v>
      </c>
      <c r="H28" s="2">
        <v>2023.0</v>
      </c>
      <c r="I28" s="2">
        <v>9.0</v>
      </c>
      <c r="J28" s="2">
        <v>11.0</v>
      </c>
    </row>
    <row r="29" ht="15.75" customHeight="1">
      <c r="A29" s="2">
        <v>131.0</v>
      </c>
      <c r="B29" s="2" t="s">
        <v>48</v>
      </c>
      <c r="C29" s="2">
        <v>21.0</v>
      </c>
      <c r="D29" s="2" t="s">
        <v>32</v>
      </c>
      <c r="E29" s="2">
        <v>1.3436619E7</v>
      </c>
      <c r="F29" s="2" t="s">
        <v>19</v>
      </c>
      <c r="G29" s="3">
        <v>45119.0</v>
      </c>
      <c r="H29" s="2">
        <v>2023.0</v>
      </c>
      <c r="I29" s="2">
        <v>7.0</v>
      </c>
      <c r="J29" s="2">
        <v>12.0</v>
      </c>
    </row>
    <row r="30" ht="15.75" customHeight="1">
      <c r="A30" s="2">
        <v>108.0</v>
      </c>
      <c r="B30" s="2" t="s">
        <v>49</v>
      </c>
      <c r="C30" s="2">
        <v>27.0</v>
      </c>
      <c r="D30" s="2" t="s">
        <v>24</v>
      </c>
      <c r="E30" s="2">
        <v>1.3309617E7</v>
      </c>
      <c r="F30" s="2" t="s">
        <v>12</v>
      </c>
      <c r="G30" s="3">
        <v>44983.0</v>
      </c>
      <c r="H30" s="2">
        <v>2023.0</v>
      </c>
      <c r="I30" s="2">
        <v>2.0</v>
      </c>
      <c r="J30" s="2">
        <v>26.0</v>
      </c>
    </row>
    <row r="31" ht="15.75" customHeight="1">
      <c r="A31" s="2">
        <v>53.0</v>
      </c>
      <c r="B31" s="2" t="s">
        <v>50</v>
      </c>
      <c r="C31" s="2">
        <v>34.0</v>
      </c>
      <c r="D31" s="2" t="s">
        <v>16</v>
      </c>
      <c r="E31" s="2">
        <v>1.2833134E7</v>
      </c>
      <c r="F31" s="2" t="s">
        <v>19</v>
      </c>
      <c r="G31" s="3">
        <v>45082.0</v>
      </c>
      <c r="H31" s="2">
        <v>2023.0</v>
      </c>
      <c r="I31" s="2">
        <v>6.0</v>
      </c>
      <c r="J31" s="2">
        <v>5.0</v>
      </c>
    </row>
    <row r="32" ht="15.75" customHeight="1">
      <c r="A32" s="2">
        <v>61.0</v>
      </c>
      <c r="B32" s="2" t="s">
        <v>51</v>
      </c>
      <c r="C32" s="2">
        <v>56.0</v>
      </c>
      <c r="D32" s="2" t="s">
        <v>26</v>
      </c>
      <c r="E32" s="2">
        <v>8356753.0</v>
      </c>
      <c r="F32" s="2" t="s">
        <v>12</v>
      </c>
      <c r="G32" s="3">
        <v>45255.0</v>
      </c>
      <c r="H32" s="2">
        <v>2023.0</v>
      </c>
      <c r="I32" s="2">
        <v>11.0</v>
      </c>
      <c r="J32" s="2">
        <v>25.0</v>
      </c>
    </row>
    <row r="33" ht="15.75" customHeight="1">
      <c r="A33" s="2">
        <v>67.0</v>
      </c>
      <c r="B33" s="2" t="s">
        <v>52</v>
      </c>
      <c r="C33" s="2">
        <v>48.0</v>
      </c>
      <c r="D33" s="2" t="s">
        <v>18</v>
      </c>
      <c r="E33" s="2">
        <v>1.5046387E7</v>
      </c>
      <c r="F33" s="2" t="s">
        <v>12</v>
      </c>
      <c r="G33" s="3">
        <v>44939.0</v>
      </c>
      <c r="H33" s="2">
        <v>2023.0</v>
      </c>
      <c r="I33" s="2">
        <v>1.0</v>
      </c>
      <c r="J33" s="2">
        <v>13.0</v>
      </c>
    </row>
    <row r="34" ht="15.75" customHeight="1">
      <c r="A34" s="2">
        <v>91.0</v>
      </c>
      <c r="B34" s="2" t="s">
        <v>53</v>
      </c>
      <c r="C34" s="2">
        <v>48.0</v>
      </c>
      <c r="D34" s="2" t="s">
        <v>14</v>
      </c>
      <c r="E34" s="2">
        <v>1.8298936E7</v>
      </c>
      <c r="F34" s="2" t="s">
        <v>12</v>
      </c>
      <c r="G34" s="3">
        <v>44993.0</v>
      </c>
      <c r="H34" s="2">
        <v>2023.0</v>
      </c>
      <c r="I34" s="2">
        <v>3.0</v>
      </c>
      <c r="J34" s="2">
        <v>8.0</v>
      </c>
    </row>
    <row r="35" ht="15.75" customHeight="1">
      <c r="A35" s="2">
        <v>63.0</v>
      </c>
      <c r="B35" s="2" t="s">
        <v>54</v>
      </c>
      <c r="C35" s="2">
        <v>20.0</v>
      </c>
      <c r="D35" s="2" t="s">
        <v>24</v>
      </c>
      <c r="E35" s="2">
        <v>1.2742482E7</v>
      </c>
      <c r="F35" s="2" t="s">
        <v>12</v>
      </c>
      <c r="G35" s="3">
        <v>45048.0</v>
      </c>
      <c r="H35" s="2">
        <v>2023.0</v>
      </c>
      <c r="I35" s="2">
        <v>5.0</v>
      </c>
      <c r="J35" s="2">
        <v>2.0</v>
      </c>
    </row>
    <row r="36" ht="15.75" customHeight="1">
      <c r="A36" s="2">
        <v>72.0</v>
      </c>
      <c r="B36" s="2" t="s">
        <v>55</v>
      </c>
      <c r="C36" s="2">
        <v>47.0</v>
      </c>
      <c r="D36" s="2" t="s">
        <v>32</v>
      </c>
      <c r="E36" s="2">
        <v>8753091.0</v>
      </c>
      <c r="F36" s="2" t="s">
        <v>12</v>
      </c>
      <c r="G36" s="3">
        <v>45269.0</v>
      </c>
      <c r="H36" s="2">
        <v>2023.0</v>
      </c>
      <c r="I36" s="2">
        <v>12.0</v>
      </c>
      <c r="J36" s="2">
        <v>9.0</v>
      </c>
    </row>
    <row r="37" ht="15.75" customHeight="1">
      <c r="A37" s="2">
        <v>129.0</v>
      </c>
      <c r="B37" s="2" t="s">
        <v>56</v>
      </c>
      <c r="C37" s="2">
        <v>18.0</v>
      </c>
      <c r="D37" s="2" t="s">
        <v>32</v>
      </c>
      <c r="E37" s="2">
        <v>1.5180706E7</v>
      </c>
      <c r="F37" s="2" t="s">
        <v>12</v>
      </c>
      <c r="G37" s="3">
        <v>45030.0</v>
      </c>
      <c r="H37" s="2">
        <v>2023.0</v>
      </c>
      <c r="I37" s="2">
        <v>4.0</v>
      </c>
      <c r="J37" s="2">
        <v>14.0</v>
      </c>
    </row>
    <row r="38" ht="15.75" customHeight="1">
      <c r="A38" s="2">
        <v>38.0</v>
      </c>
      <c r="B38" s="2" t="s">
        <v>57</v>
      </c>
      <c r="C38" s="2">
        <v>52.0</v>
      </c>
      <c r="D38" s="2" t="s">
        <v>18</v>
      </c>
      <c r="E38" s="2">
        <v>1.0792766E7</v>
      </c>
      <c r="F38" s="2" t="s">
        <v>12</v>
      </c>
      <c r="G38" s="3">
        <v>45145.0</v>
      </c>
      <c r="H38" s="2">
        <v>2023.0</v>
      </c>
      <c r="I38" s="2">
        <v>8.0</v>
      </c>
      <c r="J38" s="2">
        <v>7.0</v>
      </c>
    </row>
    <row r="39" ht="15.75" customHeight="1">
      <c r="A39" s="2">
        <v>138.0</v>
      </c>
      <c r="B39" s="2" t="s">
        <v>58</v>
      </c>
      <c r="C39" s="2">
        <v>54.0</v>
      </c>
      <c r="D39" s="2" t="s">
        <v>24</v>
      </c>
      <c r="E39" s="2">
        <v>9066315.0</v>
      </c>
      <c r="F39" s="2" t="s">
        <v>22</v>
      </c>
      <c r="G39" s="3">
        <v>45247.0</v>
      </c>
      <c r="H39" s="2">
        <v>2023.0</v>
      </c>
      <c r="I39" s="2">
        <v>11.0</v>
      </c>
      <c r="J39" s="2">
        <v>17.0</v>
      </c>
    </row>
    <row r="40" ht="15.75" customHeight="1">
      <c r="A40" s="2">
        <v>12.0</v>
      </c>
      <c r="B40" s="2" t="s">
        <v>59</v>
      </c>
      <c r="C40" s="2">
        <v>34.0</v>
      </c>
      <c r="D40" s="2" t="s">
        <v>14</v>
      </c>
      <c r="E40" s="2">
        <v>1.3192406E7</v>
      </c>
      <c r="F40" s="2" t="s">
        <v>12</v>
      </c>
      <c r="G40" s="3">
        <v>45015.0</v>
      </c>
      <c r="H40" s="2">
        <v>2023.0</v>
      </c>
      <c r="I40" s="2">
        <v>3.0</v>
      </c>
      <c r="J40" s="2">
        <v>30.0</v>
      </c>
    </row>
    <row r="41" ht="15.75" customHeight="1">
      <c r="A41" s="2">
        <v>104.0</v>
      </c>
      <c r="B41" s="2" t="s">
        <v>60</v>
      </c>
      <c r="C41" s="2">
        <v>55.0</v>
      </c>
      <c r="D41" s="2" t="s">
        <v>24</v>
      </c>
      <c r="E41" s="2">
        <v>1.1073609E7</v>
      </c>
      <c r="F41" s="2" t="s">
        <v>12</v>
      </c>
      <c r="G41" s="3">
        <v>45120.0</v>
      </c>
      <c r="H41" s="2">
        <v>2023.0</v>
      </c>
      <c r="I41" s="2">
        <v>7.0</v>
      </c>
      <c r="J41" s="2">
        <v>13.0</v>
      </c>
    </row>
    <row r="42" ht="15.75" customHeight="1">
      <c r="A42" s="2">
        <v>146.0</v>
      </c>
      <c r="B42" s="2" t="s">
        <v>61</v>
      </c>
      <c r="C42" s="2">
        <v>45.0</v>
      </c>
      <c r="D42" s="2" t="s">
        <v>26</v>
      </c>
      <c r="E42" s="2">
        <v>1.3493455E7</v>
      </c>
      <c r="F42" s="2" t="s">
        <v>12</v>
      </c>
      <c r="G42" s="3">
        <v>44935.0</v>
      </c>
      <c r="H42" s="2">
        <v>2023.0</v>
      </c>
      <c r="I42" s="2">
        <v>1.0</v>
      </c>
      <c r="J42" s="2">
        <v>9.0</v>
      </c>
    </row>
    <row r="43" ht="15.75" customHeight="1">
      <c r="A43" s="2">
        <v>2.0</v>
      </c>
      <c r="B43" s="2" t="s">
        <v>62</v>
      </c>
      <c r="C43" s="2">
        <v>45.0</v>
      </c>
      <c r="D43" s="2" t="s">
        <v>21</v>
      </c>
      <c r="E43" s="2">
        <v>9640118.0</v>
      </c>
      <c r="F43" s="2" t="s">
        <v>19</v>
      </c>
      <c r="G43" s="3">
        <v>44967.0</v>
      </c>
      <c r="H43" s="2">
        <v>2023.0</v>
      </c>
      <c r="I43" s="2">
        <v>2.0</v>
      </c>
      <c r="J43" s="2">
        <v>10.0</v>
      </c>
    </row>
    <row r="44" ht="15.75" customHeight="1">
      <c r="A44" s="2">
        <v>64.0</v>
      </c>
      <c r="B44" s="2" t="s">
        <v>63</v>
      </c>
      <c r="C44" s="2">
        <v>29.0</v>
      </c>
      <c r="D44" s="2" t="s">
        <v>24</v>
      </c>
      <c r="E44" s="2">
        <v>1.788145E7</v>
      </c>
      <c r="F44" s="2" t="s">
        <v>22</v>
      </c>
      <c r="G44" s="3">
        <v>45094.0</v>
      </c>
      <c r="H44" s="2">
        <v>2023.0</v>
      </c>
      <c r="I44" s="2">
        <v>6.0</v>
      </c>
      <c r="J44" s="2">
        <v>17.0</v>
      </c>
    </row>
    <row r="45" ht="15.75" customHeight="1">
      <c r="A45" s="2">
        <v>25.0</v>
      </c>
      <c r="B45" s="2" t="s">
        <v>64</v>
      </c>
      <c r="C45" s="2">
        <v>36.0</v>
      </c>
      <c r="D45" s="2" t="s">
        <v>21</v>
      </c>
      <c r="E45" s="2">
        <v>1.152095E7</v>
      </c>
      <c r="F45" s="2" t="s">
        <v>19</v>
      </c>
      <c r="G45" s="3">
        <v>45072.0</v>
      </c>
      <c r="H45" s="2">
        <v>2023.0</v>
      </c>
      <c r="I45" s="2">
        <v>5.0</v>
      </c>
      <c r="J45" s="2">
        <v>26.0</v>
      </c>
    </row>
    <row r="46" ht="15.75" customHeight="1">
      <c r="A46" s="2">
        <v>10.0</v>
      </c>
      <c r="B46" s="2" t="s">
        <v>65</v>
      </c>
      <c r="C46" s="2">
        <v>26.0</v>
      </c>
      <c r="D46" s="2" t="s">
        <v>18</v>
      </c>
      <c r="E46" s="2">
        <v>6335767.0</v>
      </c>
      <c r="F46" s="2" t="s">
        <v>22</v>
      </c>
      <c r="G46" s="3">
        <v>44963.0</v>
      </c>
      <c r="H46" s="2">
        <v>2023.0</v>
      </c>
      <c r="I46" s="2">
        <v>2.0</v>
      </c>
      <c r="J46" s="2">
        <v>6.0</v>
      </c>
    </row>
    <row r="47" ht="15.75" customHeight="1">
      <c r="A47" s="2">
        <v>66.0</v>
      </c>
      <c r="B47" s="2" t="s">
        <v>66</v>
      </c>
      <c r="C47" s="2">
        <v>45.0</v>
      </c>
      <c r="D47" s="2" t="s">
        <v>16</v>
      </c>
      <c r="E47" s="2">
        <v>1.5936702E7</v>
      </c>
      <c r="F47" s="2" t="s">
        <v>19</v>
      </c>
      <c r="G47" s="3">
        <v>45054.0</v>
      </c>
      <c r="H47" s="2">
        <v>2023.0</v>
      </c>
      <c r="I47" s="2">
        <v>5.0</v>
      </c>
      <c r="J47" s="2">
        <v>8.0</v>
      </c>
    </row>
    <row r="48" ht="15.75" customHeight="1">
      <c r="A48" s="2">
        <v>133.0</v>
      </c>
      <c r="B48" s="2" t="s">
        <v>67</v>
      </c>
      <c r="C48" s="2">
        <v>46.0</v>
      </c>
      <c r="D48" s="2" t="s">
        <v>21</v>
      </c>
      <c r="E48" s="2">
        <v>1.187642E7</v>
      </c>
      <c r="F48" s="2" t="s">
        <v>12</v>
      </c>
      <c r="G48" s="3">
        <v>44931.0</v>
      </c>
      <c r="H48" s="2">
        <v>2023.0</v>
      </c>
      <c r="I48" s="2">
        <v>1.0</v>
      </c>
      <c r="J48" s="2">
        <v>5.0</v>
      </c>
    </row>
    <row r="49" ht="15.75" customHeight="1">
      <c r="A49" s="2">
        <v>97.0</v>
      </c>
      <c r="B49" s="2" t="s">
        <v>68</v>
      </c>
      <c r="C49" s="2">
        <v>34.0</v>
      </c>
      <c r="D49" s="2" t="s">
        <v>24</v>
      </c>
      <c r="E49" s="2">
        <v>1.5893175E7</v>
      </c>
      <c r="F49" s="2" t="s">
        <v>19</v>
      </c>
      <c r="G49" s="3">
        <v>45040.0</v>
      </c>
      <c r="H49" s="2">
        <v>2023.0</v>
      </c>
      <c r="I49" s="2">
        <v>4.0</v>
      </c>
      <c r="J49" s="2">
        <v>24.0</v>
      </c>
    </row>
    <row r="50" ht="15.75" customHeight="1">
      <c r="A50" s="2">
        <v>74.0</v>
      </c>
      <c r="B50" s="2" t="s">
        <v>69</v>
      </c>
      <c r="C50" s="2">
        <v>55.0</v>
      </c>
      <c r="D50" s="2" t="s">
        <v>21</v>
      </c>
      <c r="E50" s="2">
        <v>1.3773969E7</v>
      </c>
      <c r="F50" s="2" t="s">
        <v>12</v>
      </c>
      <c r="G50" s="3">
        <v>44986.0</v>
      </c>
      <c r="H50" s="2">
        <v>2023.0</v>
      </c>
      <c r="I50" s="2">
        <v>3.0</v>
      </c>
      <c r="J50" s="2">
        <v>1.0</v>
      </c>
    </row>
    <row r="51" ht="15.75" customHeight="1">
      <c r="A51" s="2">
        <v>84.0</v>
      </c>
      <c r="B51" s="2" t="s">
        <v>70</v>
      </c>
      <c r="C51" s="2">
        <v>55.0</v>
      </c>
      <c r="D51" s="2" t="s">
        <v>18</v>
      </c>
      <c r="E51" s="2">
        <v>1.5726492E7</v>
      </c>
      <c r="F51" s="2" t="s">
        <v>12</v>
      </c>
      <c r="G51" s="3">
        <v>45212.0</v>
      </c>
      <c r="H51" s="2">
        <v>2023.0</v>
      </c>
      <c r="I51" s="2">
        <v>10.0</v>
      </c>
      <c r="J51" s="2">
        <v>13.0</v>
      </c>
    </row>
    <row r="52" ht="15.75" customHeight="1">
      <c r="A52" s="2">
        <v>54.0</v>
      </c>
      <c r="B52" s="2" t="s">
        <v>71</v>
      </c>
      <c r="C52" s="2">
        <v>36.0</v>
      </c>
      <c r="D52" s="2" t="s">
        <v>26</v>
      </c>
      <c r="E52" s="2">
        <v>5691998.0</v>
      </c>
      <c r="F52" s="2" t="s">
        <v>12</v>
      </c>
      <c r="G52" s="3">
        <v>45203.0</v>
      </c>
      <c r="H52" s="2">
        <v>2023.0</v>
      </c>
      <c r="I52" s="2">
        <v>10.0</v>
      </c>
      <c r="J52" s="2">
        <v>4.0</v>
      </c>
    </row>
    <row r="53" ht="15.75" customHeight="1">
      <c r="A53" s="2">
        <v>18.0</v>
      </c>
      <c r="B53" s="2" t="s">
        <v>72</v>
      </c>
      <c r="C53" s="2">
        <v>25.0</v>
      </c>
      <c r="D53" s="2" t="s">
        <v>26</v>
      </c>
      <c r="E53" s="2">
        <v>6858739.0</v>
      </c>
      <c r="F53" s="2" t="s">
        <v>19</v>
      </c>
      <c r="G53" s="3">
        <v>45210.0</v>
      </c>
      <c r="H53" s="2">
        <v>2023.0</v>
      </c>
      <c r="I53" s="2">
        <v>10.0</v>
      </c>
      <c r="J53" s="2">
        <v>11.0</v>
      </c>
    </row>
    <row r="54" ht="15.75" customHeight="1">
      <c r="A54" s="2">
        <v>103.0</v>
      </c>
      <c r="B54" s="2" t="s">
        <v>73</v>
      </c>
      <c r="C54" s="2">
        <v>53.0</v>
      </c>
      <c r="D54" s="2" t="s">
        <v>26</v>
      </c>
      <c r="E54" s="2">
        <v>8755815.0</v>
      </c>
      <c r="F54" s="2" t="s">
        <v>12</v>
      </c>
      <c r="G54" s="3">
        <v>44947.0</v>
      </c>
      <c r="H54" s="2">
        <v>2023.0</v>
      </c>
      <c r="I54" s="2">
        <v>1.0</v>
      </c>
      <c r="J54" s="2">
        <v>21.0</v>
      </c>
    </row>
    <row r="55" ht="15.75" customHeight="1">
      <c r="A55" s="2">
        <v>89.0</v>
      </c>
      <c r="B55" s="2" t="s">
        <v>74</v>
      </c>
      <c r="C55" s="2">
        <v>27.0</v>
      </c>
      <c r="D55" s="2" t="s">
        <v>21</v>
      </c>
      <c r="E55" s="2">
        <v>1.7464535E7</v>
      </c>
      <c r="F55" s="2" t="s">
        <v>12</v>
      </c>
      <c r="G55" s="3">
        <v>45014.0</v>
      </c>
      <c r="H55" s="2">
        <v>2023.0</v>
      </c>
      <c r="I55" s="2">
        <v>3.0</v>
      </c>
      <c r="J55" s="2">
        <v>29.0</v>
      </c>
    </row>
    <row r="56" ht="15.75" customHeight="1">
      <c r="A56" s="2">
        <v>19.0</v>
      </c>
      <c r="B56" s="2" t="s">
        <v>75</v>
      </c>
      <c r="C56" s="2">
        <v>18.0</v>
      </c>
      <c r="D56" s="2" t="s">
        <v>11</v>
      </c>
      <c r="E56" s="2">
        <v>1.8732209E7</v>
      </c>
      <c r="F56" s="2" t="s">
        <v>22</v>
      </c>
      <c r="G56" s="3">
        <v>44995.0</v>
      </c>
      <c r="H56" s="2">
        <v>2023.0</v>
      </c>
      <c r="I56" s="2">
        <v>3.0</v>
      </c>
      <c r="J56" s="2">
        <v>10.0</v>
      </c>
    </row>
    <row r="57" ht="15.75" customHeight="1">
      <c r="A57" s="2">
        <v>95.0</v>
      </c>
      <c r="B57" s="2" t="s">
        <v>76</v>
      </c>
      <c r="C57" s="2">
        <v>22.0</v>
      </c>
      <c r="D57" s="2" t="s">
        <v>14</v>
      </c>
      <c r="E57" s="2">
        <v>9467398.0</v>
      </c>
      <c r="F57" s="2" t="s">
        <v>12</v>
      </c>
      <c r="G57" s="3">
        <v>44938.0</v>
      </c>
      <c r="H57" s="2">
        <v>2023.0</v>
      </c>
      <c r="I57" s="2">
        <v>1.0</v>
      </c>
      <c r="J57" s="2">
        <v>12.0</v>
      </c>
    </row>
    <row r="58" ht="15.75" customHeight="1">
      <c r="A58" s="2">
        <v>24.0</v>
      </c>
      <c r="B58" s="2" t="s">
        <v>77</v>
      </c>
      <c r="C58" s="2">
        <v>35.0</v>
      </c>
      <c r="D58" s="2" t="s">
        <v>32</v>
      </c>
      <c r="E58" s="2">
        <v>7301639.0</v>
      </c>
      <c r="F58" s="2" t="s">
        <v>22</v>
      </c>
      <c r="G58" s="3">
        <v>45024.0</v>
      </c>
      <c r="H58" s="2">
        <v>2023.0</v>
      </c>
      <c r="I58" s="2">
        <v>4.0</v>
      </c>
      <c r="J58" s="2">
        <v>8.0</v>
      </c>
    </row>
    <row r="59" ht="15.75" customHeight="1">
      <c r="A59" s="2">
        <v>52.0</v>
      </c>
      <c r="B59" s="2" t="s">
        <v>78</v>
      </c>
      <c r="C59" s="2">
        <v>49.0</v>
      </c>
      <c r="D59" s="2" t="s">
        <v>14</v>
      </c>
      <c r="E59" s="2">
        <v>1.9370196E7</v>
      </c>
      <c r="F59" s="2" t="s">
        <v>19</v>
      </c>
      <c r="G59" s="3">
        <v>44992.0</v>
      </c>
      <c r="H59" s="2">
        <v>2023.0</v>
      </c>
      <c r="I59" s="2">
        <v>3.0</v>
      </c>
      <c r="J59" s="2">
        <v>7.0</v>
      </c>
    </row>
    <row r="60" ht="15.75" customHeight="1">
      <c r="A60" s="2">
        <v>123.0</v>
      </c>
      <c r="B60" s="2" t="s">
        <v>79</v>
      </c>
      <c r="C60" s="2">
        <v>20.0</v>
      </c>
      <c r="D60" s="2" t="s">
        <v>24</v>
      </c>
      <c r="E60" s="2">
        <v>1.4824387E7</v>
      </c>
      <c r="F60" s="2" t="s">
        <v>19</v>
      </c>
      <c r="G60" s="3">
        <v>45149.0</v>
      </c>
      <c r="H60" s="2">
        <v>2023.0</v>
      </c>
      <c r="I60" s="2">
        <v>8.0</v>
      </c>
      <c r="J60" s="2">
        <v>11.0</v>
      </c>
    </row>
    <row r="61" ht="15.75" customHeight="1">
      <c r="A61" s="2">
        <v>100.0</v>
      </c>
      <c r="B61" s="2" t="s">
        <v>80</v>
      </c>
      <c r="C61" s="2">
        <v>54.0</v>
      </c>
      <c r="D61" s="2" t="s">
        <v>11</v>
      </c>
      <c r="E61" s="2">
        <v>1.6132153E7</v>
      </c>
      <c r="F61" s="2" t="s">
        <v>12</v>
      </c>
      <c r="G61" s="3">
        <v>44940.0</v>
      </c>
      <c r="H61" s="2">
        <v>2023.0</v>
      </c>
      <c r="I61" s="2">
        <v>1.0</v>
      </c>
      <c r="J61" s="2">
        <v>14.0</v>
      </c>
    </row>
    <row r="62" ht="15.75" customHeight="1">
      <c r="A62" s="2">
        <v>77.0</v>
      </c>
      <c r="B62" s="2" t="s">
        <v>81</v>
      </c>
      <c r="C62" s="2">
        <v>49.0</v>
      </c>
      <c r="D62" s="2" t="s">
        <v>18</v>
      </c>
      <c r="E62" s="2">
        <v>5756349.0</v>
      </c>
      <c r="F62" s="2" t="s">
        <v>12</v>
      </c>
      <c r="G62" s="3">
        <v>45229.0</v>
      </c>
      <c r="H62" s="2">
        <v>2023.0</v>
      </c>
      <c r="I62" s="2">
        <v>10.0</v>
      </c>
      <c r="J62" s="2">
        <v>30.0</v>
      </c>
    </row>
    <row r="63" ht="15.75" customHeight="1">
      <c r="A63" s="2">
        <v>68.0</v>
      </c>
      <c r="B63" s="2" t="s">
        <v>82</v>
      </c>
      <c r="C63" s="2">
        <v>38.0</v>
      </c>
      <c r="D63" s="2" t="s">
        <v>21</v>
      </c>
      <c r="E63" s="2">
        <v>5873589.0</v>
      </c>
      <c r="F63" s="2" t="s">
        <v>12</v>
      </c>
      <c r="G63" s="3">
        <v>45285.0</v>
      </c>
      <c r="H63" s="2">
        <v>2023.0</v>
      </c>
      <c r="I63" s="2">
        <v>12.0</v>
      </c>
      <c r="J63" s="2">
        <v>25.0</v>
      </c>
    </row>
    <row r="64" ht="15.75" customHeight="1">
      <c r="A64" s="2">
        <v>150.0</v>
      </c>
      <c r="B64" s="2" t="s">
        <v>83</v>
      </c>
      <c r="C64" s="2">
        <v>26.0</v>
      </c>
      <c r="D64" s="2" t="s">
        <v>16</v>
      </c>
      <c r="E64" s="2">
        <v>3148508.0</v>
      </c>
      <c r="F64" s="2" t="s">
        <v>22</v>
      </c>
      <c r="G64" s="3">
        <v>45167.0</v>
      </c>
      <c r="H64" s="2">
        <v>2023.0</v>
      </c>
      <c r="I64" s="2">
        <v>8.0</v>
      </c>
      <c r="J64" s="2">
        <v>29.0</v>
      </c>
    </row>
    <row r="65" ht="15.75" customHeight="1">
      <c r="A65" s="2">
        <v>81.0</v>
      </c>
      <c r="B65" s="2" t="s">
        <v>84</v>
      </c>
      <c r="C65" s="2">
        <v>36.0</v>
      </c>
      <c r="D65" s="2" t="s">
        <v>14</v>
      </c>
      <c r="E65" s="2">
        <v>1.353794E7</v>
      </c>
      <c r="F65" s="2" t="s">
        <v>19</v>
      </c>
      <c r="G65" s="3">
        <v>45122.0</v>
      </c>
      <c r="H65" s="2">
        <v>2023.0</v>
      </c>
      <c r="I65" s="2">
        <v>7.0</v>
      </c>
      <c r="J65" s="2">
        <v>15.0</v>
      </c>
    </row>
    <row r="66" ht="15.75" customHeight="1">
      <c r="A66" s="2">
        <v>17.0</v>
      </c>
      <c r="B66" s="2" t="s">
        <v>85</v>
      </c>
      <c r="C66" s="2">
        <v>35.0</v>
      </c>
      <c r="D66" s="2" t="s">
        <v>21</v>
      </c>
      <c r="E66" s="2">
        <v>1.2252907E7</v>
      </c>
      <c r="F66" s="2" t="s">
        <v>19</v>
      </c>
      <c r="G66" s="3">
        <v>45132.0</v>
      </c>
      <c r="H66" s="2">
        <v>2023.0</v>
      </c>
      <c r="I66" s="2">
        <v>7.0</v>
      </c>
      <c r="J66" s="2">
        <v>25.0</v>
      </c>
    </row>
    <row r="67" ht="15.75" customHeight="1">
      <c r="A67" s="2">
        <v>73.0</v>
      </c>
      <c r="B67" s="2" t="s">
        <v>86</v>
      </c>
      <c r="C67" s="2">
        <v>45.0</v>
      </c>
      <c r="D67" s="2" t="s">
        <v>24</v>
      </c>
      <c r="E67" s="2">
        <v>9362138.0</v>
      </c>
      <c r="F67" s="2" t="s">
        <v>19</v>
      </c>
      <c r="G67" s="3">
        <v>45215.0</v>
      </c>
      <c r="H67" s="2">
        <v>2023.0</v>
      </c>
      <c r="I67" s="2">
        <v>10.0</v>
      </c>
      <c r="J67" s="2">
        <v>16.0</v>
      </c>
    </row>
    <row r="68" ht="15.75" customHeight="1">
      <c r="A68" s="2">
        <v>28.0</v>
      </c>
      <c r="B68" s="2" t="s">
        <v>87</v>
      </c>
      <c r="C68" s="2">
        <v>32.0</v>
      </c>
      <c r="D68" s="2" t="s">
        <v>26</v>
      </c>
      <c r="E68" s="2">
        <v>6262952.0</v>
      </c>
      <c r="F68" s="2" t="s">
        <v>22</v>
      </c>
      <c r="G68" s="3">
        <v>45176.0</v>
      </c>
      <c r="H68" s="2">
        <v>2023.0</v>
      </c>
      <c r="I68" s="2">
        <v>9.0</v>
      </c>
      <c r="J68" s="2">
        <v>7.0</v>
      </c>
    </row>
    <row r="69" ht="15.75" customHeight="1">
      <c r="A69" s="2">
        <v>86.0</v>
      </c>
      <c r="B69" s="2" t="s">
        <v>88</v>
      </c>
      <c r="C69" s="2">
        <v>46.0</v>
      </c>
      <c r="D69" s="2" t="s">
        <v>18</v>
      </c>
      <c r="E69" s="2">
        <v>1.0023859E7</v>
      </c>
      <c r="F69" s="2" t="s">
        <v>12</v>
      </c>
      <c r="G69" s="3">
        <v>45044.0</v>
      </c>
      <c r="H69" s="2">
        <v>2023.0</v>
      </c>
      <c r="I69" s="2">
        <v>4.0</v>
      </c>
      <c r="J69" s="2">
        <v>28.0</v>
      </c>
    </row>
    <row r="70" ht="15.75" customHeight="1">
      <c r="A70" s="2">
        <v>30.0</v>
      </c>
      <c r="B70" s="2" t="s">
        <v>89</v>
      </c>
      <c r="C70" s="2">
        <v>33.0</v>
      </c>
      <c r="D70" s="2" t="s">
        <v>32</v>
      </c>
      <c r="E70" s="2">
        <v>9354913.0</v>
      </c>
      <c r="F70" s="2" t="s">
        <v>19</v>
      </c>
      <c r="G70" s="3">
        <v>44937.0</v>
      </c>
      <c r="H70" s="2">
        <v>2023.0</v>
      </c>
      <c r="I70" s="2">
        <v>1.0</v>
      </c>
      <c r="J70" s="2">
        <v>11.0</v>
      </c>
    </row>
    <row r="71" ht="15.75" customHeight="1">
      <c r="A71" s="2">
        <v>83.0</v>
      </c>
      <c r="B71" s="2" t="s">
        <v>90</v>
      </c>
      <c r="C71" s="2">
        <v>23.0</v>
      </c>
      <c r="D71" s="2" t="s">
        <v>24</v>
      </c>
      <c r="E71" s="2">
        <v>1.9266307E7</v>
      </c>
      <c r="F71" s="2" t="s">
        <v>19</v>
      </c>
      <c r="G71" s="3">
        <v>45003.0</v>
      </c>
      <c r="H71" s="2">
        <v>2023.0</v>
      </c>
      <c r="I71" s="2">
        <v>3.0</v>
      </c>
      <c r="J71" s="2">
        <v>18.0</v>
      </c>
    </row>
    <row r="72" ht="15.75" customHeight="1">
      <c r="A72" s="2">
        <v>55.0</v>
      </c>
      <c r="B72" s="2" t="s">
        <v>91</v>
      </c>
      <c r="C72" s="2">
        <v>45.0</v>
      </c>
      <c r="D72" s="2" t="s">
        <v>11</v>
      </c>
      <c r="E72" s="2">
        <v>1.0712096E7</v>
      </c>
      <c r="F72" s="2" t="s">
        <v>12</v>
      </c>
      <c r="G72" s="3">
        <v>44987.0</v>
      </c>
      <c r="H72" s="2">
        <v>2023.0</v>
      </c>
      <c r="I72" s="2">
        <v>3.0</v>
      </c>
      <c r="J72" s="2">
        <v>2.0</v>
      </c>
    </row>
    <row r="73" ht="15.75" customHeight="1">
      <c r="A73" s="2">
        <v>114.0</v>
      </c>
      <c r="B73" s="2" t="s">
        <v>92</v>
      </c>
      <c r="C73" s="2">
        <v>26.0</v>
      </c>
      <c r="D73" s="2" t="s">
        <v>14</v>
      </c>
      <c r="E73" s="2">
        <v>3446580.0</v>
      </c>
      <c r="F73" s="2" t="s">
        <v>19</v>
      </c>
      <c r="G73" s="3">
        <v>45256.0</v>
      </c>
      <c r="H73" s="2">
        <v>2023.0</v>
      </c>
      <c r="I73" s="2">
        <v>11.0</v>
      </c>
      <c r="J73" s="2">
        <v>26.0</v>
      </c>
    </row>
    <row r="74" ht="15.75" customHeight="1">
      <c r="A74" s="2">
        <v>45.0</v>
      </c>
      <c r="B74" s="2" t="s">
        <v>93</v>
      </c>
      <c r="C74" s="2">
        <v>48.0</v>
      </c>
      <c r="D74" s="2" t="s">
        <v>21</v>
      </c>
      <c r="E74" s="2">
        <v>1.2967112E7</v>
      </c>
      <c r="F74" s="2" t="s">
        <v>12</v>
      </c>
      <c r="G74" s="3">
        <v>45215.0</v>
      </c>
      <c r="H74" s="2">
        <v>2023.0</v>
      </c>
      <c r="I74" s="2">
        <v>10.0</v>
      </c>
      <c r="J74" s="2">
        <v>16.0</v>
      </c>
    </row>
    <row r="75" ht="15.75" customHeight="1">
      <c r="A75" s="2">
        <v>33.0</v>
      </c>
      <c r="B75" s="2" t="s">
        <v>94</v>
      </c>
      <c r="C75" s="2">
        <v>30.0</v>
      </c>
      <c r="D75" s="2" t="s">
        <v>14</v>
      </c>
      <c r="E75" s="2">
        <v>9920843.0</v>
      </c>
      <c r="F75" s="2" t="s">
        <v>22</v>
      </c>
      <c r="G75" s="3">
        <v>45062.0</v>
      </c>
      <c r="H75" s="2">
        <v>2023.0</v>
      </c>
      <c r="I75" s="2">
        <v>5.0</v>
      </c>
      <c r="J75" s="2">
        <v>16.0</v>
      </c>
    </row>
    <row r="76" ht="15.75" customHeight="1">
      <c r="A76" s="2">
        <v>149.0</v>
      </c>
      <c r="B76" s="2" t="s">
        <v>95</v>
      </c>
      <c r="C76" s="2">
        <v>34.0</v>
      </c>
      <c r="D76" s="2" t="s">
        <v>32</v>
      </c>
      <c r="E76" s="2">
        <v>7734185.0</v>
      </c>
      <c r="F76" s="2" t="s">
        <v>12</v>
      </c>
      <c r="G76" s="3">
        <v>45034.0</v>
      </c>
      <c r="H76" s="2">
        <v>2023.0</v>
      </c>
      <c r="I76" s="2">
        <v>4.0</v>
      </c>
      <c r="J76" s="2">
        <v>18.0</v>
      </c>
    </row>
    <row r="77" ht="15.75" customHeight="1">
      <c r="A77" s="2">
        <v>78.0</v>
      </c>
      <c r="B77" s="2" t="s">
        <v>96</v>
      </c>
      <c r="C77" s="2">
        <v>37.0</v>
      </c>
      <c r="D77" s="2" t="s">
        <v>14</v>
      </c>
      <c r="E77" s="2">
        <v>5968085.0</v>
      </c>
      <c r="F77" s="2" t="s">
        <v>12</v>
      </c>
      <c r="G77" s="3">
        <v>45226.0</v>
      </c>
      <c r="H77" s="2">
        <v>2023.0</v>
      </c>
      <c r="I77" s="2">
        <v>10.0</v>
      </c>
      <c r="J77" s="2">
        <v>27.0</v>
      </c>
    </row>
    <row r="78" ht="15.75" customHeight="1">
      <c r="A78" s="2">
        <v>16.0</v>
      </c>
      <c r="B78" s="2" t="s">
        <v>97</v>
      </c>
      <c r="C78" s="2">
        <v>58.0</v>
      </c>
      <c r="D78" s="2" t="s">
        <v>24</v>
      </c>
      <c r="E78" s="2">
        <v>1.1892944E7</v>
      </c>
      <c r="F78" s="2" t="s">
        <v>19</v>
      </c>
      <c r="G78" s="3">
        <v>45234.0</v>
      </c>
      <c r="H78" s="2">
        <v>2023.0</v>
      </c>
      <c r="I78" s="2">
        <v>11.0</v>
      </c>
      <c r="J78" s="2">
        <v>4.0</v>
      </c>
    </row>
    <row r="79" ht="15.75" customHeight="1">
      <c r="A79" s="2">
        <v>113.0</v>
      </c>
      <c r="B79" s="2" t="s">
        <v>98</v>
      </c>
      <c r="C79" s="2">
        <v>20.0</v>
      </c>
      <c r="D79" s="2" t="s">
        <v>18</v>
      </c>
      <c r="E79" s="2">
        <v>1.8308491E7</v>
      </c>
      <c r="F79" s="2" t="s">
        <v>22</v>
      </c>
      <c r="G79" s="3">
        <v>44930.0</v>
      </c>
      <c r="H79" s="2">
        <v>2023.0</v>
      </c>
      <c r="I79" s="2">
        <v>1.0</v>
      </c>
      <c r="J79" s="2">
        <v>4.0</v>
      </c>
    </row>
    <row r="80" ht="15.75" customHeight="1">
      <c r="A80" s="2">
        <v>31.0</v>
      </c>
      <c r="B80" s="2" t="s">
        <v>99</v>
      </c>
      <c r="C80" s="2">
        <v>43.0</v>
      </c>
      <c r="D80" s="2" t="s">
        <v>32</v>
      </c>
      <c r="E80" s="2">
        <v>8342007.0</v>
      </c>
      <c r="F80" s="2" t="s">
        <v>12</v>
      </c>
      <c r="G80" s="3">
        <v>45264.0</v>
      </c>
      <c r="H80" s="2">
        <v>2023.0</v>
      </c>
      <c r="I80" s="2">
        <v>12.0</v>
      </c>
      <c r="J80" s="2">
        <v>4.0</v>
      </c>
    </row>
    <row r="81" ht="15.75" customHeight="1">
      <c r="A81" s="2">
        <v>6.0</v>
      </c>
      <c r="B81" s="2" t="s">
        <v>100</v>
      </c>
      <c r="C81" s="2">
        <v>29.0</v>
      </c>
      <c r="D81" s="2" t="s">
        <v>16</v>
      </c>
      <c r="E81" s="2">
        <v>1.3934208E7</v>
      </c>
      <c r="F81" s="2" t="s">
        <v>12</v>
      </c>
      <c r="G81" s="3">
        <v>45124.0</v>
      </c>
      <c r="H81" s="2">
        <v>2023.0</v>
      </c>
      <c r="I81" s="2">
        <v>7.0</v>
      </c>
      <c r="J81" s="2">
        <v>17.0</v>
      </c>
    </row>
    <row r="82" ht="15.75" customHeight="1">
      <c r="A82" s="2">
        <v>59.0</v>
      </c>
      <c r="B82" s="2" t="s">
        <v>101</v>
      </c>
      <c r="C82" s="2">
        <v>22.0</v>
      </c>
      <c r="D82" s="2" t="s">
        <v>18</v>
      </c>
      <c r="E82" s="2">
        <v>1.0759064E7</v>
      </c>
      <c r="F82" s="2" t="s">
        <v>19</v>
      </c>
      <c r="G82" s="3">
        <v>44947.0</v>
      </c>
      <c r="H82" s="2">
        <v>2023.0</v>
      </c>
      <c r="I82" s="2">
        <v>1.0</v>
      </c>
      <c r="J82" s="2">
        <v>21.0</v>
      </c>
    </row>
    <row r="83" ht="15.75" customHeight="1">
      <c r="A83" s="2">
        <v>88.0</v>
      </c>
      <c r="B83" s="2" t="s">
        <v>102</v>
      </c>
      <c r="C83" s="2">
        <v>51.0</v>
      </c>
      <c r="D83" s="2" t="s">
        <v>21</v>
      </c>
      <c r="E83" s="2">
        <v>1.1642087E7</v>
      </c>
      <c r="F83" s="2" t="s">
        <v>12</v>
      </c>
      <c r="G83" s="3">
        <v>44935.0</v>
      </c>
      <c r="H83" s="2">
        <v>2023.0</v>
      </c>
      <c r="I83" s="2">
        <v>1.0</v>
      </c>
      <c r="J83" s="2">
        <v>9.0</v>
      </c>
    </row>
    <row r="84" ht="15.75" customHeight="1">
      <c r="A84" s="2">
        <v>96.0</v>
      </c>
      <c r="B84" s="2" t="s">
        <v>103</v>
      </c>
      <c r="C84" s="2">
        <v>58.0</v>
      </c>
      <c r="D84" s="2" t="s">
        <v>21</v>
      </c>
      <c r="E84" s="2">
        <v>1.9362393E7</v>
      </c>
      <c r="F84" s="2" t="s">
        <v>12</v>
      </c>
      <c r="G84" s="3">
        <v>45121.0</v>
      </c>
      <c r="H84" s="2">
        <v>2023.0</v>
      </c>
      <c r="I84" s="2">
        <v>7.0</v>
      </c>
      <c r="J84" s="2">
        <v>14.0</v>
      </c>
    </row>
    <row r="85" ht="15.75" customHeight="1">
      <c r="A85" s="2">
        <v>116.0</v>
      </c>
      <c r="B85" s="2" t="s">
        <v>104</v>
      </c>
      <c r="C85" s="2">
        <v>28.0</v>
      </c>
      <c r="D85" s="2" t="s">
        <v>16</v>
      </c>
      <c r="E85" s="2">
        <v>1.7826375E7</v>
      </c>
      <c r="F85" s="2" t="s">
        <v>19</v>
      </c>
      <c r="G85" s="3">
        <v>45219.0</v>
      </c>
      <c r="H85" s="2">
        <v>2023.0</v>
      </c>
      <c r="I85" s="2">
        <v>10.0</v>
      </c>
      <c r="J85" s="2">
        <v>20.0</v>
      </c>
    </row>
    <row r="86" ht="15.75" customHeight="1">
      <c r="A86" s="2">
        <v>11.0</v>
      </c>
      <c r="B86" s="2" t="s">
        <v>105</v>
      </c>
      <c r="C86" s="2">
        <v>50.0</v>
      </c>
      <c r="D86" s="2" t="s">
        <v>32</v>
      </c>
      <c r="E86" s="2">
        <v>6557817.0</v>
      </c>
      <c r="F86" s="2" t="s">
        <v>22</v>
      </c>
      <c r="G86" s="3">
        <v>45012.0</v>
      </c>
      <c r="H86" s="2">
        <v>2023.0</v>
      </c>
      <c r="I86" s="2">
        <v>3.0</v>
      </c>
      <c r="J86" s="2">
        <v>27.0</v>
      </c>
    </row>
    <row r="87" ht="15.75" customHeight="1">
      <c r="A87" s="2">
        <v>132.0</v>
      </c>
      <c r="B87" s="2" t="s">
        <v>106</v>
      </c>
      <c r="C87" s="2">
        <v>19.0</v>
      </c>
      <c r="D87" s="2" t="s">
        <v>14</v>
      </c>
      <c r="E87" s="2">
        <v>7608920.0</v>
      </c>
      <c r="F87" s="2" t="s">
        <v>12</v>
      </c>
      <c r="G87" s="3">
        <v>45269.0</v>
      </c>
      <c r="H87" s="2">
        <v>2023.0</v>
      </c>
      <c r="I87" s="2">
        <v>12.0</v>
      </c>
      <c r="J87" s="2">
        <v>9.0</v>
      </c>
    </row>
    <row r="88" ht="15.75" customHeight="1">
      <c r="A88" s="2">
        <v>80.0</v>
      </c>
      <c r="B88" s="2" t="s">
        <v>107</v>
      </c>
      <c r="C88" s="2">
        <v>41.0</v>
      </c>
      <c r="D88" s="2" t="s">
        <v>32</v>
      </c>
      <c r="E88" s="2">
        <v>5344402.0</v>
      </c>
      <c r="F88" s="2" t="s">
        <v>19</v>
      </c>
      <c r="G88" s="3">
        <v>45092.0</v>
      </c>
      <c r="H88" s="2">
        <v>2023.0</v>
      </c>
      <c r="I88" s="2">
        <v>6.0</v>
      </c>
      <c r="J88" s="2">
        <v>15.0</v>
      </c>
    </row>
    <row r="89" ht="15.75" customHeight="1">
      <c r="A89" s="2">
        <v>65.0</v>
      </c>
      <c r="B89" s="2" t="s">
        <v>108</v>
      </c>
      <c r="C89" s="2">
        <v>57.0</v>
      </c>
      <c r="D89" s="2" t="s">
        <v>14</v>
      </c>
      <c r="E89" s="2">
        <v>1.6360831E7</v>
      </c>
      <c r="F89" s="2" t="s">
        <v>12</v>
      </c>
      <c r="G89" s="3">
        <v>44970.0</v>
      </c>
      <c r="H89" s="2">
        <v>2023.0</v>
      </c>
      <c r="I89" s="2">
        <v>2.0</v>
      </c>
      <c r="J89" s="2">
        <v>13.0</v>
      </c>
    </row>
    <row r="90" ht="15.75" customHeight="1">
      <c r="A90" s="2">
        <v>26.0</v>
      </c>
      <c r="B90" s="2" t="s">
        <v>109</v>
      </c>
      <c r="C90" s="2">
        <v>33.0</v>
      </c>
      <c r="D90" s="2" t="s">
        <v>24</v>
      </c>
      <c r="E90" s="2">
        <v>9665097.0</v>
      </c>
      <c r="F90" s="2" t="s">
        <v>22</v>
      </c>
      <c r="G90" s="3">
        <v>45286.0</v>
      </c>
      <c r="H90" s="2">
        <v>2023.0</v>
      </c>
      <c r="I90" s="2">
        <v>12.0</v>
      </c>
      <c r="J90" s="2">
        <v>26.0</v>
      </c>
    </row>
    <row r="91" ht="15.75" customHeight="1">
      <c r="A91" s="2">
        <v>140.0</v>
      </c>
      <c r="B91" s="2" t="s">
        <v>110</v>
      </c>
      <c r="C91" s="2">
        <v>20.0</v>
      </c>
      <c r="D91" s="2" t="s">
        <v>11</v>
      </c>
      <c r="E91" s="2">
        <v>1.7712644E7</v>
      </c>
      <c r="F91" s="2" t="s">
        <v>19</v>
      </c>
      <c r="G91" s="3">
        <v>45230.0</v>
      </c>
      <c r="H91" s="2">
        <v>2023.0</v>
      </c>
      <c r="I91" s="2">
        <v>10.0</v>
      </c>
      <c r="J91" s="2">
        <v>31.0</v>
      </c>
    </row>
    <row r="92" ht="15.75" customHeight="1">
      <c r="A92" s="2">
        <v>130.0</v>
      </c>
      <c r="B92" s="2" t="s">
        <v>111</v>
      </c>
      <c r="C92" s="2">
        <v>29.0</v>
      </c>
      <c r="D92" s="2" t="s">
        <v>18</v>
      </c>
      <c r="E92" s="2">
        <v>1.2810374E7</v>
      </c>
      <c r="F92" s="2" t="s">
        <v>12</v>
      </c>
      <c r="G92" s="3">
        <v>45008.0</v>
      </c>
      <c r="H92" s="2">
        <v>2023.0</v>
      </c>
      <c r="I92" s="2">
        <v>3.0</v>
      </c>
      <c r="J92" s="2">
        <v>23.0</v>
      </c>
    </row>
    <row r="93" ht="15.75" customHeight="1">
      <c r="A93" s="2">
        <v>142.0</v>
      </c>
      <c r="B93" s="2" t="s">
        <v>112</v>
      </c>
      <c r="C93" s="2">
        <v>30.0</v>
      </c>
      <c r="D93" s="2" t="s">
        <v>24</v>
      </c>
      <c r="E93" s="2">
        <v>1.5296892E7</v>
      </c>
      <c r="F93" s="2" t="s">
        <v>19</v>
      </c>
      <c r="G93" s="3">
        <v>45162.0</v>
      </c>
      <c r="H93" s="2">
        <v>2023.0</v>
      </c>
      <c r="I93" s="2">
        <v>8.0</v>
      </c>
      <c r="J93" s="2">
        <v>24.0</v>
      </c>
    </row>
    <row r="94" ht="15.75" customHeight="1">
      <c r="A94" s="2">
        <v>27.0</v>
      </c>
      <c r="B94" s="2" t="s">
        <v>113</v>
      </c>
      <c r="C94" s="2">
        <v>21.0</v>
      </c>
      <c r="D94" s="2" t="s">
        <v>21</v>
      </c>
      <c r="E94" s="2">
        <v>3459770.0</v>
      </c>
      <c r="F94" s="2" t="s">
        <v>22</v>
      </c>
      <c r="G94" s="3">
        <v>45127.0</v>
      </c>
      <c r="H94" s="2">
        <v>2023.0</v>
      </c>
      <c r="I94" s="2">
        <v>7.0</v>
      </c>
      <c r="J94" s="2">
        <v>20.0</v>
      </c>
    </row>
    <row r="95" ht="15.75" customHeight="1">
      <c r="A95" s="2">
        <v>15.0</v>
      </c>
      <c r="B95" s="2" t="s">
        <v>114</v>
      </c>
      <c r="C95" s="2">
        <v>54.0</v>
      </c>
      <c r="D95" s="2" t="s">
        <v>16</v>
      </c>
      <c r="E95" s="2">
        <v>2.0E7</v>
      </c>
      <c r="F95" s="2" t="s">
        <v>19</v>
      </c>
      <c r="G95" s="3">
        <v>45212.0</v>
      </c>
      <c r="H95" s="2">
        <v>2023.0</v>
      </c>
      <c r="I95" s="2">
        <v>10.0</v>
      </c>
      <c r="J95" s="2">
        <v>13.0</v>
      </c>
    </row>
    <row r="96" ht="15.75" customHeight="1">
      <c r="A96" s="2">
        <v>90.0</v>
      </c>
      <c r="B96" s="2" t="s">
        <v>115</v>
      </c>
      <c r="C96" s="2">
        <v>50.0</v>
      </c>
      <c r="D96" s="2" t="s">
        <v>14</v>
      </c>
      <c r="E96" s="2">
        <v>7709702.0</v>
      </c>
      <c r="F96" s="2" t="s">
        <v>19</v>
      </c>
      <c r="G96" s="3">
        <v>45234.0</v>
      </c>
      <c r="H96" s="2">
        <v>2023.0</v>
      </c>
      <c r="I96" s="2">
        <v>11.0</v>
      </c>
      <c r="J96" s="2">
        <v>4.0</v>
      </c>
    </row>
    <row r="97" ht="15.75" customHeight="1">
      <c r="A97" s="2">
        <v>137.0</v>
      </c>
      <c r="B97" s="2" t="s">
        <v>116</v>
      </c>
      <c r="C97" s="2">
        <v>22.0</v>
      </c>
      <c r="D97" s="2" t="s">
        <v>24</v>
      </c>
      <c r="E97" s="2">
        <v>1.2408194E7</v>
      </c>
      <c r="F97" s="2" t="s">
        <v>12</v>
      </c>
      <c r="G97" s="3">
        <v>44964.0</v>
      </c>
      <c r="H97" s="2">
        <v>2023.0</v>
      </c>
      <c r="I97" s="2">
        <v>2.0</v>
      </c>
      <c r="J97" s="2">
        <v>7.0</v>
      </c>
    </row>
    <row r="98" ht="15.75" customHeight="1">
      <c r="A98" s="2">
        <v>111.0</v>
      </c>
      <c r="B98" s="2" t="s">
        <v>117</v>
      </c>
      <c r="C98" s="2">
        <v>51.0</v>
      </c>
      <c r="D98" s="2" t="s">
        <v>16</v>
      </c>
      <c r="E98" s="2">
        <v>1.6991685E7</v>
      </c>
      <c r="F98" s="2" t="s">
        <v>12</v>
      </c>
      <c r="G98" s="3">
        <v>45200.0</v>
      </c>
      <c r="H98" s="2">
        <v>2023.0</v>
      </c>
      <c r="I98" s="2">
        <v>10.0</v>
      </c>
      <c r="J98" s="2">
        <v>1.0</v>
      </c>
    </row>
    <row r="99" ht="15.75" customHeight="1">
      <c r="A99" s="2">
        <v>23.0</v>
      </c>
      <c r="B99" s="2" t="s">
        <v>118</v>
      </c>
      <c r="C99" s="2">
        <v>36.0</v>
      </c>
      <c r="D99" s="2" t="s">
        <v>14</v>
      </c>
      <c r="E99" s="2">
        <v>5437962.0</v>
      </c>
      <c r="F99" s="2" t="s">
        <v>22</v>
      </c>
      <c r="G99" s="3">
        <v>45106.0</v>
      </c>
      <c r="H99" s="2">
        <v>2023.0</v>
      </c>
      <c r="I99" s="2">
        <v>6.0</v>
      </c>
      <c r="J99" s="2">
        <v>29.0</v>
      </c>
    </row>
    <row r="100" ht="15.75" customHeight="1">
      <c r="A100" s="2">
        <v>4.0</v>
      </c>
      <c r="B100" s="2" t="s">
        <v>119</v>
      </c>
      <c r="C100" s="2">
        <v>49.0</v>
      </c>
      <c r="D100" s="2" t="s">
        <v>18</v>
      </c>
      <c r="E100" s="2">
        <v>1.9426187E7</v>
      </c>
      <c r="F100" s="2" t="s">
        <v>12</v>
      </c>
      <c r="G100" s="3">
        <v>44974.0</v>
      </c>
      <c r="H100" s="2">
        <v>2023.0</v>
      </c>
      <c r="I100" s="2">
        <v>2.0</v>
      </c>
      <c r="J100" s="2">
        <v>17.0</v>
      </c>
    </row>
    <row r="101" ht="15.75" customHeight="1">
      <c r="A101" s="2">
        <v>121.0</v>
      </c>
      <c r="B101" s="2" t="s">
        <v>120</v>
      </c>
      <c r="C101" s="2">
        <v>48.0</v>
      </c>
      <c r="D101" s="2" t="s">
        <v>14</v>
      </c>
      <c r="E101" s="2">
        <v>1.3196181E7</v>
      </c>
      <c r="F101" s="2" t="s">
        <v>19</v>
      </c>
      <c r="G101" s="3">
        <v>45144.0</v>
      </c>
      <c r="H101" s="2">
        <v>2023.0</v>
      </c>
      <c r="I101" s="2">
        <v>8.0</v>
      </c>
      <c r="J101" s="2">
        <v>6.0</v>
      </c>
    </row>
    <row r="102" ht="15.75" customHeight="1">
      <c r="A102" s="2">
        <v>94.0</v>
      </c>
      <c r="B102" s="2" t="s">
        <v>121</v>
      </c>
      <c r="C102" s="2">
        <v>40.0</v>
      </c>
      <c r="D102" s="2" t="s">
        <v>26</v>
      </c>
      <c r="E102" s="2">
        <v>1.7592168E7</v>
      </c>
      <c r="F102" s="2" t="s">
        <v>19</v>
      </c>
      <c r="G102" s="3">
        <v>45266.0</v>
      </c>
      <c r="H102" s="2">
        <v>2023.0</v>
      </c>
      <c r="I102" s="2">
        <v>12.0</v>
      </c>
      <c r="J102" s="2">
        <v>6.0</v>
      </c>
    </row>
    <row r="103" ht="15.75" customHeight="1">
      <c r="A103" s="2">
        <v>107.0</v>
      </c>
      <c r="B103" s="2" t="s">
        <v>122</v>
      </c>
      <c r="C103" s="2">
        <v>52.0</v>
      </c>
      <c r="D103" s="2" t="s">
        <v>24</v>
      </c>
      <c r="E103" s="2">
        <v>1.8206488E7</v>
      </c>
      <c r="F103" s="2" t="s">
        <v>19</v>
      </c>
      <c r="G103" s="3">
        <v>45077.0</v>
      </c>
      <c r="H103" s="2">
        <v>2023.0</v>
      </c>
      <c r="I103" s="2">
        <v>5.0</v>
      </c>
      <c r="J103" s="2">
        <v>31.0</v>
      </c>
    </row>
    <row r="104" ht="15.75" customHeight="1">
      <c r="A104" s="2">
        <v>144.0</v>
      </c>
      <c r="B104" s="2" t="s">
        <v>123</v>
      </c>
      <c r="C104" s="2">
        <v>18.0</v>
      </c>
      <c r="D104" s="2" t="s">
        <v>11</v>
      </c>
      <c r="E104" s="2">
        <v>3608061.0</v>
      </c>
      <c r="F104" s="2" t="s">
        <v>12</v>
      </c>
      <c r="G104" s="3">
        <v>44935.0</v>
      </c>
      <c r="H104" s="2">
        <v>2023.0</v>
      </c>
      <c r="I104" s="2">
        <v>1.0</v>
      </c>
      <c r="J104" s="2">
        <v>9.0</v>
      </c>
    </row>
    <row r="105" ht="15.75" customHeight="1">
      <c r="A105" s="2">
        <v>34.0</v>
      </c>
      <c r="B105" s="2" t="s">
        <v>124</v>
      </c>
      <c r="C105" s="2">
        <v>22.0</v>
      </c>
      <c r="D105" s="2" t="s">
        <v>26</v>
      </c>
      <c r="E105" s="2">
        <v>3787554.0</v>
      </c>
      <c r="F105" s="2" t="s">
        <v>19</v>
      </c>
      <c r="G105" s="3">
        <v>45230.0</v>
      </c>
      <c r="H105" s="2">
        <v>2023.0</v>
      </c>
      <c r="I105" s="2">
        <v>10.0</v>
      </c>
      <c r="J105" s="2">
        <v>31.0</v>
      </c>
    </row>
    <row r="106" ht="15.75" customHeight="1">
      <c r="A106" s="2">
        <v>93.0</v>
      </c>
      <c r="B106" s="2" t="s">
        <v>125</v>
      </c>
      <c r="C106" s="2">
        <v>37.0</v>
      </c>
      <c r="D106" s="2" t="s">
        <v>21</v>
      </c>
      <c r="E106" s="2">
        <v>8292937.0</v>
      </c>
      <c r="F106" s="2" t="s">
        <v>12</v>
      </c>
      <c r="G106" s="3">
        <v>44983.0</v>
      </c>
      <c r="H106" s="2">
        <v>2023.0</v>
      </c>
      <c r="I106" s="2">
        <v>2.0</v>
      </c>
      <c r="J106" s="2">
        <v>26.0</v>
      </c>
    </row>
    <row r="107" ht="15.75" customHeight="1">
      <c r="A107" s="2">
        <v>43.0</v>
      </c>
      <c r="B107" s="2" t="s">
        <v>126</v>
      </c>
      <c r="C107" s="2">
        <v>24.0</v>
      </c>
      <c r="D107" s="2" t="s">
        <v>11</v>
      </c>
      <c r="E107" s="2">
        <v>6863134.0</v>
      </c>
      <c r="F107" s="2" t="s">
        <v>12</v>
      </c>
      <c r="G107" s="3">
        <v>45107.0</v>
      </c>
      <c r="H107" s="2">
        <v>2023.0</v>
      </c>
      <c r="I107" s="2">
        <v>6.0</v>
      </c>
      <c r="J107" s="2">
        <v>30.0</v>
      </c>
    </row>
    <row r="108" ht="15.75" customHeight="1">
      <c r="A108" s="2">
        <v>50.0</v>
      </c>
      <c r="B108" s="2" t="s">
        <v>127</v>
      </c>
      <c r="C108" s="2">
        <v>33.0</v>
      </c>
      <c r="D108" s="2" t="s">
        <v>21</v>
      </c>
      <c r="E108" s="2">
        <v>1.6826711E7</v>
      </c>
      <c r="F108" s="2" t="s">
        <v>19</v>
      </c>
      <c r="G108" s="3">
        <v>44974.0</v>
      </c>
      <c r="H108" s="2">
        <v>2023.0</v>
      </c>
      <c r="I108" s="2">
        <v>2.0</v>
      </c>
      <c r="J108" s="2">
        <v>17.0</v>
      </c>
    </row>
    <row r="109" ht="15.75" customHeight="1">
      <c r="A109" s="2">
        <v>21.0</v>
      </c>
      <c r="B109" s="2" t="s">
        <v>128</v>
      </c>
      <c r="C109" s="2">
        <v>56.0</v>
      </c>
      <c r="D109" s="2" t="s">
        <v>14</v>
      </c>
      <c r="E109" s="2">
        <v>4345778.0</v>
      </c>
      <c r="F109" s="2" t="s">
        <v>12</v>
      </c>
      <c r="G109" s="3">
        <v>45265.0</v>
      </c>
      <c r="H109" s="2">
        <v>2023.0</v>
      </c>
      <c r="I109" s="2">
        <v>12.0</v>
      </c>
      <c r="J109" s="2">
        <v>5.0</v>
      </c>
    </row>
    <row r="110" ht="15.75" customHeight="1">
      <c r="A110" s="2">
        <v>46.0</v>
      </c>
      <c r="B110" s="2" t="s">
        <v>129</v>
      </c>
      <c r="C110" s="2">
        <v>35.0</v>
      </c>
      <c r="D110" s="2" t="s">
        <v>26</v>
      </c>
      <c r="E110" s="2">
        <v>1.3609354E7</v>
      </c>
      <c r="F110" s="2" t="s">
        <v>12</v>
      </c>
      <c r="G110" s="3">
        <v>45168.0</v>
      </c>
      <c r="H110" s="2">
        <v>2023.0</v>
      </c>
      <c r="I110" s="2">
        <v>8.0</v>
      </c>
      <c r="J110" s="2">
        <v>30.0</v>
      </c>
    </row>
    <row r="111" ht="15.75" customHeight="1">
      <c r="A111" s="2">
        <v>120.0</v>
      </c>
      <c r="B111" s="2" t="s">
        <v>130</v>
      </c>
      <c r="C111" s="2">
        <v>48.0</v>
      </c>
      <c r="D111" s="2" t="s">
        <v>26</v>
      </c>
      <c r="E111" s="2">
        <v>4880950.0</v>
      </c>
      <c r="F111" s="2" t="s">
        <v>12</v>
      </c>
      <c r="G111" s="3">
        <v>45265.0</v>
      </c>
      <c r="H111" s="2">
        <v>2023.0</v>
      </c>
      <c r="I111" s="2">
        <v>12.0</v>
      </c>
      <c r="J111" s="2">
        <v>5.0</v>
      </c>
    </row>
    <row r="112" ht="15.75" customHeight="1">
      <c r="A112" s="2">
        <v>5.0</v>
      </c>
      <c r="B112" s="2" t="s">
        <v>131</v>
      </c>
      <c r="C112" s="2">
        <v>49.0</v>
      </c>
      <c r="D112" s="2" t="s">
        <v>14</v>
      </c>
      <c r="E112" s="2">
        <v>1.3180447E7</v>
      </c>
      <c r="F112" s="2" t="s">
        <v>19</v>
      </c>
      <c r="G112" s="3">
        <v>44957.0</v>
      </c>
      <c r="H112" s="2">
        <v>2023.0</v>
      </c>
      <c r="I112" s="2">
        <v>1.0</v>
      </c>
      <c r="J112" s="2">
        <v>31.0</v>
      </c>
    </row>
    <row r="113" ht="15.75" customHeight="1">
      <c r="A113" s="2">
        <v>105.0</v>
      </c>
      <c r="B113" s="2" t="s">
        <v>132</v>
      </c>
      <c r="C113" s="2">
        <v>32.0</v>
      </c>
      <c r="D113" s="2" t="s">
        <v>24</v>
      </c>
      <c r="E113" s="2">
        <v>8504179.0</v>
      </c>
      <c r="F113" s="2" t="s">
        <v>12</v>
      </c>
      <c r="G113" s="3">
        <v>45277.0</v>
      </c>
      <c r="H113" s="2">
        <v>2023.0</v>
      </c>
      <c r="I113" s="2">
        <v>12.0</v>
      </c>
      <c r="J113" s="2">
        <v>17.0</v>
      </c>
    </row>
    <row r="114" ht="15.75" customHeight="1">
      <c r="A114" s="2">
        <v>106.0</v>
      </c>
      <c r="B114" s="2" t="s">
        <v>133</v>
      </c>
      <c r="C114" s="2">
        <v>39.0</v>
      </c>
      <c r="D114" s="2" t="s">
        <v>24</v>
      </c>
      <c r="E114" s="2">
        <v>1.4324301E7</v>
      </c>
      <c r="F114" s="2" t="s">
        <v>12</v>
      </c>
      <c r="G114" s="3">
        <v>44933.0</v>
      </c>
      <c r="H114" s="2">
        <v>2023.0</v>
      </c>
      <c r="I114" s="2">
        <v>1.0</v>
      </c>
      <c r="J114" s="2">
        <v>7.0</v>
      </c>
    </row>
    <row r="115" ht="15.75" customHeight="1">
      <c r="A115" s="2">
        <v>145.0</v>
      </c>
      <c r="B115" s="2" t="s">
        <v>134</v>
      </c>
      <c r="C115" s="2">
        <v>53.0</v>
      </c>
      <c r="D115" s="2" t="s">
        <v>21</v>
      </c>
      <c r="E115" s="2">
        <v>4543805.0</v>
      </c>
      <c r="F115" s="2" t="s">
        <v>12</v>
      </c>
      <c r="G115" s="3">
        <v>45272.0</v>
      </c>
      <c r="H115" s="2">
        <v>2023.0</v>
      </c>
      <c r="I115" s="2">
        <v>12.0</v>
      </c>
      <c r="J115" s="2">
        <v>12.0</v>
      </c>
    </row>
    <row r="116" ht="15.75" customHeight="1">
      <c r="A116" s="2">
        <v>32.0</v>
      </c>
      <c r="B116" s="2" t="s">
        <v>135</v>
      </c>
      <c r="C116" s="2">
        <v>55.0</v>
      </c>
      <c r="D116" s="2" t="s">
        <v>14</v>
      </c>
      <c r="E116" s="2">
        <v>1.3042747E7</v>
      </c>
      <c r="F116" s="2" t="s">
        <v>12</v>
      </c>
      <c r="G116" s="3">
        <v>45079.0</v>
      </c>
      <c r="H116" s="2">
        <v>2023.0</v>
      </c>
      <c r="I116" s="2">
        <v>6.0</v>
      </c>
      <c r="J116" s="2">
        <v>2.0</v>
      </c>
    </row>
    <row r="117" ht="15.75" customHeight="1">
      <c r="A117" s="2">
        <v>126.0</v>
      </c>
      <c r="B117" s="2" t="s">
        <v>136</v>
      </c>
      <c r="C117" s="2">
        <v>21.0</v>
      </c>
      <c r="D117" s="2" t="s">
        <v>14</v>
      </c>
      <c r="E117" s="2">
        <v>1.2767781E7</v>
      </c>
      <c r="F117" s="2" t="s">
        <v>22</v>
      </c>
      <c r="G117" s="3">
        <v>45031.0</v>
      </c>
      <c r="H117" s="2">
        <v>2023.0</v>
      </c>
      <c r="I117" s="2">
        <v>4.0</v>
      </c>
      <c r="J117" s="2">
        <v>15.0</v>
      </c>
    </row>
    <row r="118" ht="15.75" customHeight="1">
      <c r="A118" s="2">
        <v>102.0</v>
      </c>
      <c r="B118" s="2" t="s">
        <v>137</v>
      </c>
      <c r="C118" s="2">
        <v>33.0</v>
      </c>
      <c r="D118" s="2" t="s">
        <v>21</v>
      </c>
      <c r="E118" s="2">
        <v>1.6172839E7</v>
      </c>
      <c r="F118" s="2" t="s">
        <v>19</v>
      </c>
      <c r="G118" s="3">
        <v>45270.0</v>
      </c>
      <c r="H118" s="2">
        <v>2023.0</v>
      </c>
      <c r="I118" s="2">
        <v>12.0</v>
      </c>
      <c r="J118" s="2">
        <v>10.0</v>
      </c>
    </row>
    <row r="119" ht="15.75" customHeight="1">
      <c r="A119" s="2">
        <v>14.0</v>
      </c>
      <c r="B119" s="2" t="s">
        <v>138</v>
      </c>
      <c r="C119" s="2">
        <v>22.0</v>
      </c>
      <c r="D119" s="2" t="s">
        <v>14</v>
      </c>
      <c r="E119" s="2">
        <v>9220515.0</v>
      </c>
      <c r="F119" s="2" t="s">
        <v>19</v>
      </c>
      <c r="G119" s="3">
        <v>45178.0</v>
      </c>
      <c r="H119" s="2">
        <v>2023.0</v>
      </c>
      <c r="I119" s="2">
        <v>9.0</v>
      </c>
      <c r="J119" s="2">
        <v>9.0</v>
      </c>
    </row>
    <row r="120" ht="15.75" customHeight="1">
      <c r="A120" s="2">
        <v>7.0</v>
      </c>
      <c r="B120" s="2" t="s">
        <v>139</v>
      </c>
      <c r="C120" s="2">
        <v>55.0</v>
      </c>
      <c r="D120" s="2" t="s">
        <v>24</v>
      </c>
      <c r="E120" s="2">
        <v>5257395.0</v>
      </c>
      <c r="F120" s="2" t="s">
        <v>12</v>
      </c>
      <c r="G120" s="3">
        <v>45175.0</v>
      </c>
      <c r="H120" s="2">
        <v>2023.0</v>
      </c>
      <c r="I120" s="2">
        <v>9.0</v>
      </c>
      <c r="J120" s="2">
        <v>6.0</v>
      </c>
    </row>
    <row r="121" ht="15.75" customHeight="1">
      <c r="A121" s="2">
        <v>125.0</v>
      </c>
      <c r="B121" s="2" t="s">
        <v>140</v>
      </c>
      <c r="C121" s="2">
        <v>31.0</v>
      </c>
      <c r="D121" s="2" t="s">
        <v>32</v>
      </c>
      <c r="E121" s="2">
        <v>7420845.0</v>
      </c>
      <c r="F121" s="2" t="s">
        <v>22</v>
      </c>
      <c r="G121" s="3">
        <v>45157.0</v>
      </c>
      <c r="H121" s="2">
        <v>2023.0</v>
      </c>
      <c r="I121" s="2">
        <v>8.0</v>
      </c>
      <c r="J121" s="2">
        <v>19.0</v>
      </c>
    </row>
    <row r="122" ht="15.75" customHeight="1">
      <c r="A122" s="2">
        <v>147.0</v>
      </c>
      <c r="B122" s="2" t="s">
        <v>141</v>
      </c>
      <c r="C122" s="2">
        <v>27.0</v>
      </c>
      <c r="D122" s="2" t="s">
        <v>14</v>
      </c>
      <c r="E122" s="2">
        <v>7691923.0</v>
      </c>
      <c r="F122" s="2" t="s">
        <v>12</v>
      </c>
      <c r="G122" s="3">
        <v>45260.0</v>
      </c>
      <c r="H122" s="2">
        <v>2023.0</v>
      </c>
      <c r="I122" s="2">
        <v>11.0</v>
      </c>
      <c r="J122" s="2">
        <v>30.0</v>
      </c>
    </row>
    <row r="123" ht="15.75" customHeight="1">
      <c r="A123" s="2">
        <v>75.0</v>
      </c>
      <c r="B123" s="2" t="s">
        <v>142</v>
      </c>
      <c r="C123" s="2">
        <v>52.0</v>
      </c>
      <c r="D123" s="2" t="s">
        <v>16</v>
      </c>
      <c r="E123" s="2">
        <v>1.6622463E7</v>
      </c>
      <c r="F123" s="2" t="s">
        <v>12</v>
      </c>
      <c r="G123" s="3">
        <v>45066.0</v>
      </c>
      <c r="H123" s="2">
        <v>2023.0</v>
      </c>
      <c r="I123" s="2">
        <v>5.0</v>
      </c>
      <c r="J123" s="2">
        <v>20.0</v>
      </c>
    </row>
    <row r="124" ht="15.75" customHeight="1">
      <c r="A124" s="2">
        <v>9.0</v>
      </c>
      <c r="B124" s="2" t="s">
        <v>143</v>
      </c>
      <c r="C124" s="2">
        <v>22.0</v>
      </c>
      <c r="D124" s="2" t="s">
        <v>32</v>
      </c>
      <c r="E124" s="2">
        <v>7207630.0</v>
      </c>
      <c r="F124" s="2" t="s">
        <v>19</v>
      </c>
      <c r="G124" s="3">
        <v>45137.0</v>
      </c>
      <c r="H124" s="2">
        <v>2023.0</v>
      </c>
      <c r="I124" s="2">
        <v>7.0</v>
      </c>
      <c r="J124" s="2">
        <v>30.0</v>
      </c>
    </row>
    <row r="125" ht="15.75" customHeight="1">
      <c r="A125" s="2">
        <v>128.0</v>
      </c>
      <c r="B125" s="2" t="s">
        <v>144</v>
      </c>
      <c r="C125" s="2">
        <v>24.0</v>
      </c>
      <c r="D125" s="2" t="s">
        <v>18</v>
      </c>
      <c r="E125" s="2">
        <v>1.7702673E7</v>
      </c>
      <c r="F125" s="2" t="s">
        <v>22</v>
      </c>
      <c r="G125" s="3">
        <v>45231.0</v>
      </c>
      <c r="H125" s="2">
        <v>2023.0</v>
      </c>
      <c r="I125" s="2">
        <v>11.0</v>
      </c>
      <c r="J125" s="2">
        <v>1.0</v>
      </c>
    </row>
    <row r="126" ht="15.75" customHeight="1">
      <c r="A126" s="2">
        <v>37.0</v>
      </c>
      <c r="B126" s="2" t="s">
        <v>145</v>
      </c>
      <c r="C126" s="2">
        <v>59.0</v>
      </c>
      <c r="D126" s="2" t="s">
        <v>14</v>
      </c>
      <c r="E126" s="2">
        <v>2.0E7</v>
      </c>
      <c r="F126" s="2" t="s">
        <v>12</v>
      </c>
      <c r="G126" s="3">
        <v>45276.0</v>
      </c>
      <c r="H126" s="2">
        <v>2023.0</v>
      </c>
      <c r="I126" s="2">
        <v>12.0</v>
      </c>
      <c r="J126" s="2">
        <v>16.0</v>
      </c>
    </row>
    <row r="127" ht="15.75" customHeight="1">
      <c r="A127" s="2">
        <v>117.0</v>
      </c>
      <c r="B127" s="2" t="s">
        <v>146</v>
      </c>
      <c r="C127" s="2">
        <v>47.0</v>
      </c>
      <c r="D127" s="2" t="s">
        <v>21</v>
      </c>
      <c r="E127" s="2">
        <v>1.0959032E7</v>
      </c>
      <c r="F127" s="2" t="s">
        <v>19</v>
      </c>
      <c r="G127" s="3">
        <v>45074.0</v>
      </c>
      <c r="H127" s="2">
        <v>2023.0</v>
      </c>
      <c r="I127" s="2">
        <v>5.0</v>
      </c>
      <c r="J127" s="2">
        <v>28.0</v>
      </c>
    </row>
    <row r="128" ht="15.75" customHeight="1">
      <c r="A128" s="2">
        <v>36.0</v>
      </c>
      <c r="B128" s="2" t="s">
        <v>147</v>
      </c>
      <c r="C128" s="2">
        <v>37.0</v>
      </c>
      <c r="D128" s="2" t="s">
        <v>24</v>
      </c>
      <c r="E128" s="2">
        <v>3638609.0</v>
      </c>
      <c r="F128" s="2" t="s">
        <v>12</v>
      </c>
      <c r="G128" s="3">
        <v>45018.0</v>
      </c>
      <c r="H128" s="2">
        <v>2023.0</v>
      </c>
      <c r="I128" s="2">
        <v>4.0</v>
      </c>
      <c r="J128" s="2">
        <v>2.0</v>
      </c>
    </row>
    <row r="129" ht="15.75" customHeight="1">
      <c r="A129" s="2">
        <v>56.0</v>
      </c>
      <c r="B129" s="2" t="s">
        <v>148</v>
      </c>
      <c r="C129" s="2">
        <v>32.0</v>
      </c>
      <c r="D129" s="2" t="s">
        <v>21</v>
      </c>
      <c r="E129" s="2">
        <v>7718810.0</v>
      </c>
      <c r="F129" s="2" t="s">
        <v>19</v>
      </c>
      <c r="G129" s="3">
        <v>45082.0</v>
      </c>
      <c r="H129" s="2">
        <v>2023.0</v>
      </c>
      <c r="I129" s="2">
        <v>6.0</v>
      </c>
      <c r="J129" s="2">
        <v>5.0</v>
      </c>
    </row>
    <row r="130" ht="15.75" customHeight="1">
      <c r="A130" s="2">
        <v>58.0</v>
      </c>
      <c r="B130" s="2" t="s">
        <v>149</v>
      </c>
      <c r="C130" s="2">
        <v>29.0</v>
      </c>
      <c r="D130" s="2" t="s">
        <v>32</v>
      </c>
      <c r="E130" s="2">
        <v>1.1537191E7</v>
      </c>
      <c r="F130" s="2" t="s">
        <v>19</v>
      </c>
      <c r="G130" s="3">
        <v>44977.0</v>
      </c>
      <c r="H130" s="2">
        <v>2023.0</v>
      </c>
      <c r="I130" s="2">
        <v>2.0</v>
      </c>
      <c r="J130" s="2">
        <v>20.0</v>
      </c>
    </row>
    <row r="131" ht="15.75" customHeight="1">
      <c r="A131" s="2">
        <v>115.0</v>
      </c>
      <c r="B131" s="2" t="s">
        <v>150</v>
      </c>
      <c r="C131" s="2">
        <v>40.0</v>
      </c>
      <c r="D131" s="2" t="s">
        <v>32</v>
      </c>
      <c r="E131" s="2">
        <v>6656354.0</v>
      </c>
      <c r="F131" s="2" t="s">
        <v>12</v>
      </c>
      <c r="G131" s="3">
        <v>45133.0</v>
      </c>
      <c r="H131" s="2">
        <v>2023.0</v>
      </c>
      <c r="I131" s="2">
        <v>7.0</v>
      </c>
      <c r="J131" s="2">
        <v>26.0</v>
      </c>
    </row>
    <row r="132" ht="15.75" customHeight="1">
      <c r="A132" s="2">
        <v>79.0</v>
      </c>
      <c r="B132" s="2" t="s">
        <v>151</v>
      </c>
      <c r="C132" s="2">
        <v>25.0</v>
      </c>
      <c r="D132" s="2" t="s">
        <v>11</v>
      </c>
      <c r="E132" s="2">
        <v>8161584.0</v>
      </c>
      <c r="F132" s="2" t="s">
        <v>19</v>
      </c>
      <c r="G132" s="3">
        <v>45032.0</v>
      </c>
      <c r="H132" s="2">
        <v>2023.0</v>
      </c>
      <c r="I132" s="2">
        <v>4.0</v>
      </c>
      <c r="J132" s="2">
        <v>16.0</v>
      </c>
    </row>
    <row r="133" ht="15.75" customHeight="1">
      <c r="A133" s="2">
        <v>82.0</v>
      </c>
      <c r="B133" s="2" t="s">
        <v>152</v>
      </c>
      <c r="C133" s="2">
        <v>50.0</v>
      </c>
      <c r="D133" s="2" t="s">
        <v>18</v>
      </c>
      <c r="E133" s="2">
        <v>9399440.0</v>
      </c>
      <c r="F133" s="2" t="s">
        <v>12</v>
      </c>
      <c r="G133" s="3">
        <v>45004.0</v>
      </c>
      <c r="H133" s="2">
        <v>2023.0</v>
      </c>
      <c r="I133" s="2">
        <v>3.0</v>
      </c>
      <c r="J133" s="2">
        <v>19.0</v>
      </c>
    </row>
    <row r="134" ht="15.75" customHeight="1">
      <c r="A134" s="2">
        <v>101.0</v>
      </c>
      <c r="B134" s="2" t="s">
        <v>153</v>
      </c>
      <c r="C134" s="2">
        <v>55.0</v>
      </c>
      <c r="D134" s="2" t="s">
        <v>21</v>
      </c>
      <c r="E134" s="2">
        <v>3870745.0</v>
      </c>
      <c r="F134" s="2" t="s">
        <v>19</v>
      </c>
      <c r="G134" s="3">
        <v>45225.0</v>
      </c>
      <c r="H134" s="2">
        <v>2023.0</v>
      </c>
      <c r="I134" s="2">
        <v>10.0</v>
      </c>
      <c r="J134" s="2">
        <v>26.0</v>
      </c>
    </row>
    <row r="135" ht="15.75" customHeight="1">
      <c r="A135" s="2">
        <v>48.0</v>
      </c>
      <c r="B135" s="2" t="s">
        <v>154</v>
      </c>
      <c r="C135" s="2">
        <v>35.0</v>
      </c>
      <c r="D135" s="2" t="s">
        <v>24</v>
      </c>
      <c r="E135" s="2">
        <v>1.3516286E7</v>
      </c>
      <c r="F135" s="2" t="s">
        <v>12</v>
      </c>
      <c r="G135" s="3">
        <v>45065.0</v>
      </c>
      <c r="H135" s="2">
        <v>2023.0</v>
      </c>
      <c r="I135" s="2">
        <v>5.0</v>
      </c>
      <c r="J135" s="2">
        <v>19.0</v>
      </c>
    </row>
    <row r="136" ht="15.75" customHeight="1">
      <c r="A136" s="2">
        <v>47.0</v>
      </c>
      <c r="B136" s="2" t="s">
        <v>155</v>
      </c>
      <c r="C136" s="2">
        <v>46.0</v>
      </c>
      <c r="D136" s="2" t="s">
        <v>14</v>
      </c>
      <c r="E136" s="2">
        <v>2.0E7</v>
      </c>
      <c r="F136" s="2" t="s">
        <v>19</v>
      </c>
      <c r="G136" s="3">
        <v>45267.0</v>
      </c>
      <c r="H136" s="2">
        <v>2023.0</v>
      </c>
      <c r="I136" s="2">
        <v>12.0</v>
      </c>
      <c r="J136" s="2">
        <v>7.0</v>
      </c>
    </row>
    <row r="137" ht="15.75" customHeight="1">
      <c r="A137" s="2">
        <v>141.0</v>
      </c>
      <c r="B137" s="2" t="s">
        <v>156</v>
      </c>
      <c r="C137" s="2">
        <v>58.0</v>
      </c>
      <c r="D137" s="2" t="s">
        <v>18</v>
      </c>
      <c r="E137" s="2">
        <v>1.0345712E7</v>
      </c>
      <c r="F137" s="2" t="s">
        <v>12</v>
      </c>
      <c r="G137" s="3">
        <v>45123.0</v>
      </c>
      <c r="H137" s="2">
        <v>2023.0</v>
      </c>
      <c r="I137" s="2">
        <v>7.0</v>
      </c>
      <c r="J137" s="2">
        <v>16.0</v>
      </c>
    </row>
    <row r="138" ht="15.75" customHeight="1">
      <c r="A138" s="2">
        <v>39.0</v>
      </c>
      <c r="B138" s="2" t="s">
        <v>157</v>
      </c>
      <c r="C138" s="2">
        <v>53.0</v>
      </c>
      <c r="D138" s="2" t="s">
        <v>24</v>
      </c>
      <c r="E138" s="2">
        <v>5104084.0</v>
      </c>
      <c r="F138" s="2" t="s">
        <v>12</v>
      </c>
      <c r="G138" s="3">
        <v>44995.0</v>
      </c>
      <c r="H138" s="2">
        <v>2023.0</v>
      </c>
      <c r="I138" s="2">
        <v>3.0</v>
      </c>
      <c r="J138" s="2">
        <v>10.0</v>
      </c>
    </row>
    <row r="139" ht="15.75" customHeight="1">
      <c r="A139" s="2">
        <v>112.0</v>
      </c>
      <c r="B139" s="2" t="s">
        <v>158</v>
      </c>
      <c r="C139" s="2">
        <v>53.0</v>
      </c>
      <c r="D139" s="2" t="s">
        <v>18</v>
      </c>
      <c r="E139" s="2">
        <v>1.3421532E7</v>
      </c>
      <c r="F139" s="2" t="s">
        <v>19</v>
      </c>
      <c r="G139" s="3">
        <v>45016.0</v>
      </c>
      <c r="H139" s="2">
        <v>2023.0</v>
      </c>
      <c r="I139" s="2">
        <v>3.0</v>
      </c>
      <c r="J139" s="2">
        <v>31.0</v>
      </c>
    </row>
    <row r="140" ht="15.75" customHeight="1">
      <c r="A140" s="2">
        <v>76.0</v>
      </c>
      <c r="B140" s="2" t="s">
        <v>159</v>
      </c>
      <c r="C140" s="2">
        <v>55.0</v>
      </c>
      <c r="D140" s="2" t="s">
        <v>11</v>
      </c>
      <c r="E140" s="2">
        <v>9809636.0</v>
      </c>
      <c r="F140" s="2" t="s">
        <v>12</v>
      </c>
      <c r="G140" s="3">
        <v>45082.0</v>
      </c>
      <c r="H140" s="2">
        <v>2023.0</v>
      </c>
      <c r="I140" s="2">
        <v>6.0</v>
      </c>
      <c r="J140" s="2">
        <v>5.0</v>
      </c>
    </row>
    <row r="141" ht="15.75" customHeight="1">
      <c r="A141" s="2">
        <v>122.0</v>
      </c>
      <c r="B141" s="2" t="s">
        <v>160</v>
      </c>
      <c r="C141" s="2">
        <v>37.0</v>
      </c>
      <c r="D141" s="2" t="s">
        <v>32</v>
      </c>
      <c r="E141" s="2">
        <v>8759574.0</v>
      </c>
      <c r="F141" s="2" t="s">
        <v>19</v>
      </c>
      <c r="G141" s="3">
        <v>45162.0</v>
      </c>
      <c r="H141" s="2">
        <v>2023.0</v>
      </c>
      <c r="I141" s="2">
        <v>8.0</v>
      </c>
      <c r="J141" s="2">
        <v>24.0</v>
      </c>
    </row>
    <row r="142" ht="15.75" customHeight="1">
      <c r="A142" s="2">
        <v>85.0</v>
      </c>
      <c r="B142" s="2" t="s">
        <v>161</v>
      </c>
      <c r="C142" s="2">
        <v>18.0</v>
      </c>
      <c r="D142" s="2" t="s">
        <v>18</v>
      </c>
      <c r="E142" s="2">
        <v>1.2955313E7</v>
      </c>
      <c r="F142" s="2" t="s">
        <v>19</v>
      </c>
      <c r="G142" s="3">
        <v>44946.0</v>
      </c>
      <c r="H142" s="2">
        <v>2023.0</v>
      </c>
      <c r="I142" s="2">
        <v>1.0</v>
      </c>
      <c r="J142" s="2">
        <v>20.0</v>
      </c>
    </row>
    <row r="143" ht="15.75" customHeight="1">
      <c r="A143" s="2">
        <v>109.0</v>
      </c>
      <c r="B143" s="2" t="s">
        <v>162</v>
      </c>
      <c r="C143" s="2">
        <v>44.0</v>
      </c>
      <c r="D143" s="2" t="s">
        <v>32</v>
      </c>
      <c r="E143" s="2">
        <v>2.0E7</v>
      </c>
      <c r="F143" s="2" t="s">
        <v>12</v>
      </c>
      <c r="G143" s="3">
        <v>45208.0</v>
      </c>
      <c r="H143" s="2">
        <v>2023.0</v>
      </c>
      <c r="I143" s="2">
        <v>10.0</v>
      </c>
      <c r="J143" s="2">
        <v>9.0</v>
      </c>
    </row>
    <row r="144" ht="15.75" customHeight="1">
      <c r="A144" s="2">
        <v>71.0</v>
      </c>
      <c r="B144" s="2" t="s">
        <v>163</v>
      </c>
      <c r="C144" s="2">
        <v>22.0</v>
      </c>
      <c r="D144" s="2" t="s">
        <v>11</v>
      </c>
      <c r="E144" s="2">
        <v>1.0481842E7</v>
      </c>
      <c r="F144" s="2" t="s">
        <v>19</v>
      </c>
      <c r="G144" s="3">
        <v>44957.0</v>
      </c>
      <c r="H144" s="2">
        <v>2023.0</v>
      </c>
      <c r="I144" s="2">
        <v>1.0</v>
      </c>
      <c r="J144" s="2">
        <v>31.0</v>
      </c>
    </row>
    <row r="145" ht="15.75" customHeight="1">
      <c r="A145" s="2">
        <v>40.0</v>
      </c>
      <c r="B145" s="2" t="s">
        <v>164</v>
      </c>
      <c r="C145" s="2">
        <v>19.0</v>
      </c>
      <c r="D145" s="2" t="s">
        <v>14</v>
      </c>
      <c r="E145" s="2">
        <v>1.7600492E7</v>
      </c>
      <c r="F145" s="2" t="s">
        <v>19</v>
      </c>
      <c r="G145" s="3">
        <v>45029.0</v>
      </c>
      <c r="H145" s="2">
        <v>2023.0</v>
      </c>
      <c r="I145" s="2">
        <v>4.0</v>
      </c>
      <c r="J145" s="2">
        <v>13.0</v>
      </c>
    </row>
    <row r="146" ht="15.75" customHeight="1">
      <c r="A146" s="2">
        <v>41.0</v>
      </c>
      <c r="B146" s="2" t="s">
        <v>165</v>
      </c>
      <c r="C146" s="2">
        <v>23.0</v>
      </c>
      <c r="D146" s="2" t="s">
        <v>32</v>
      </c>
      <c r="E146" s="2">
        <v>1.6705638E7</v>
      </c>
      <c r="F146" s="2" t="s">
        <v>19</v>
      </c>
      <c r="G146" s="3">
        <v>44938.0</v>
      </c>
      <c r="H146" s="2">
        <v>2023.0</v>
      </c>
      <c r="I146" s="2">
        <v>1.0</v>
      </c>
      <c r="J146" s="2">
        <v>12.0</v>
      </c>
    </row>
    <row r="147" ht="15.75" customHeight="1">
      <c r="A147" s="2">
        <v>8.0</v>
      </c>
      <c r="B147" s="2" t="s">
        <v>166</v>
      </c>
      <c r="C147" s="2">
        <v>37.0</v>
      </c>
      <c r="D147" s="2" t="s">
        <v>26</v>
      </c>
      <c r="E147" s="2">
        <v>1.903328E7</v>
      </c>
      <c r="F147" s="2" t="s">
        <v>12</v>
      </c>
      <c r="G147" s="3">
        <v>45015.0</v>
      </c>
      <c r="H147" s="2">
        <v>2023.0</v>
      </c>
      <c r="I147" s="2">
        <v>3.0</v>
      </c>
      <c r="J147" s="2">
        <v>30.0</v>
      </c>
    </row>
    <row r="148" ht="15.75" customHeight="1">
      <c r="A148" s="2">
        <v>35.0</v>
      </c>
      <c r="B148" s="2" t="s">
        <v>167</v>
      </c>
      <c r="C148" s="2">
        <v>51.0</v>
      </c>
      <c r="D148" s="2" t="s">
        <v>26</v>
      </c>
      <c r="E148" s="2">
        <v>1.9193548E7</v>
      </c>
      <c r="F148" s="2" t="s">
        <v>12</v>
      </c>
      <c r="G148" s="3">
        <v>45102.0</v>
      </c>
      <c r="H148" s="2">
        <v>2023.0</v>
      </c>
      <c r="I148" s="2">
        <v>6.0</v>
      </c>
      <c r="J148" s="2">
        <v>25.0</v>
      </c>
    </row>
    <row r="149" ht="15.75" customHeight="1">
      <c r="A149" s="2">
        <v>13.0</v>
      </c>
      <c r="B149" s="2" t="s">
        <v>168</v>
      </c>
      <c r="C149" s="2">
        <v>45.0</v>
      </c>
      <c r="D149" s="2" t="s">
        <v>24</v>
      </c>
      <c r="E149" s="2">
        <v>3706063.0</v>
      </c>
      <c r="F149" s="2" t="s">
        <v>19</v>
      </c>
      <c r="G149" s="3">
        <v>45189.0</v>
      </c>
      <c r="H149" s="2">
        <v>2023.0</v>
      </c>
      <c r="I149" s="2">
        <v>9.0</v>
      </c>
      <c r="J149" s="2">
        <v>20.0</v>
      </c>
    </row>
    <row r="150" ht="15.75" customHeight="1">
      <c r="A150" s="2">
        <v>1.0</v>
      </c>
      <c r="B150" s="2" t="s">
        <v>169</v>
      </c>
      <c r="C150" s="2">
        <v>29.0</v>
      </c>
      <c r="D150" s="2" t="s">
        <v>14</v>
      </c>
      <c r="E150" s="2">
        <v>1.568213E7</v>
      </c>
      <c r="F150" s="2" t="s">
        <v>12</v>
      </c>
      <c r="G150" s="3">
        <v>45053.0</v>
      </c>
      <c r="H150" s="2">
        <v>2023.0</v>
      </c>
      <c r="I150" s="2">
        <v>5.0</v>
      </c>
      <c r="J150" s="2">
        <v>7.0</v>
      </c>
    </row>
    <row r="151" ht="15.75" customHeight="1">
      <c r="A151" s="2">
        <v>69.0</v>
      </c>
      <c r="B151" s="2" t="s">
        <v>170</v>
      </c>
      <c r="C151" s="2">
        <v>27.0</v>
      </c>
      <c r="D151" s="2" t="s">
        <v>11</v>
      </c>
      <c r="E151" s="2">
        <v>7340883.0</v>
      </c>
      <c r="F151" s="2" t="s">
        <v>19</v>
      </c>
      <c r="G151" s="3">
        <v>45262.0</v>
      </c>
      <c r="H151" s="2">
        <v>2023.0</v>
      </c>
      <c r="I151" s="2">
        <v>12.0</v>
      </c>
      <c r="J151" s="2">
        <v>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57"/>
    <col customWidth="1" min="3" max="3" width="17.43"/>
    <col customWidth="1" min="4" max="4" width="10.29"/>
    <col customWidth="1" min="5" max="5" width="17.0"/>
    <col customWidth="1" min="8" max="8" width="16.57"/>
  </cols>
  <sheetData>
    <row r="1">
      <c r="A1" s="4" t="s">
        <v>2</v>
      </c>
      <c r="B1" s="4" t="s">
        <v>4</v>
      </c>
      <c r="C1" s="5" t="s">
        <v>171</v>
      </c>
      <c r="D1" s="5" t="s">
        <v>172</v>
      </c>
      <c r="E1" s="6" t="s">
        <v>173</v>
      </c>
    </row>
    <row r="2">
      <c r="A2" s="7">
        <v>51.0</v>
      </c>
      <c r="B2" s="7">
        <v>9819256.0</v>
      </c>
      <c r="C2" s="7">
        <f t="shared" ref="C2:C151" si="2">A2*B2</f>
        <v>500782056</v>
      </c>
      <c r="D2" s="7">
        <f t="shared" ref="D2:E2" si="1">A2^2</f>
        <v>2601</v>
      </c>
      <c r="E2" s="8">
        <f t="shared" si="1"/>
        <v>96417788393536</v>
      </c>
      <c r="G2" s="9" t="s">
        <v>174</v>
      </c>
      <c r="H2" s="2">
        <f>sum(C2:C151)</f>
        <v>68703910095</v>
      </c>
    </row>
    <row r="3">
      <c r="A3" s="7">
        <v>37.0</v>
      </c>
      <c r="B3" s="7">
        <v>4991886.0</v>
      </c>
      <c r="C3" s="7">
        <f t="shared" si="2"/>
        <v>184699782</v>
      </c>
      <c r="D3" s="7">
        <f t="shared" ref="D3:E3" si="3">A3^2</f>
        <v>1369</v>
      </c>
      <c r="E3" s="8">
        <f t="shared" si="3"/>
        <v>24918925836996</v>
      </c>
      <c r="G3" s="9" t="s">
        <v>175</v>
      </c>
      <c r="H3" s="2">
        <f>SUM(A2:A151)</f>
        <v>5742</v>
      </c>
    </row>
    <row r="4">
      <c r="A4" s="7">
        <v>31.0</v>
      </c>
      <c r="B4" s="7">
        <v>1.9094979E7</v>
      </c>
      <c r="C4" s="7">
        <f t="shared" si="2"/>
        <v>591944349</v>
      </c>
      <c r="D4" s="7">
        <f t="shared" ref="D4:E4" si="4">A4^2</f>
        <v>961</v>
      </c>
      <c r="E4" s="8">
        <f t="shared" si="4"/>
        <v>364618223010441</v>
      </c>
      <c r="G4" s="9" t="s">
        <v>176</v>
      </c>
      <c r="H4" s="2">
        <f>SUM(B2:B151)</f>
        <v>1788610804</v>
      </c>
    </row>
    <row r="5">
      <c r="A5" s="7">
        <v>54.0</v>
      </c>
      <c r="B5" s="7">
        <v>1.5843052E7</v>
      </c>
      <c r="C5" s="7">
        <f t="shared" si="2"/>
        <v>855524808</v>
      </c>
      <c r="D5" s="7">
        <f t="shared" ref="D5:E5" si="5">A5^2</f>
        <v>2916</v>
      </c>
      <c r="E5" s="8">
        <f t="shared" si="5"/>
        <v>251002296674704</v>
      </c>
      <c r="G5" s="9" t="s">
        <v>177</v>
      </c>
      <c r="H5" s="2">
        <f>SUM(D2:D151)</f>
        <v>243912</v>
      </c>
    </row>
    <row r="6">
      <c r="A6" s="7">
        <v>26.0</v>
      </c>
      <c r="B6" s="7">
        <v>2.0E7</v>
      </c>
      <c r="C6" s="7">
        <f t="shared" si="2"/>
        <v>520000000</v>
      </c>
      <c r="D6" s="7">
        <f t="shared" ref="D6:E6" si="6">A6^2</f>
        <v>676</v>
      </c>
      <c r="E6" s="8">
        <f t="shared" si="6"/>
        <v>400000000000000</v>
      </c>
      <c r="G6" s="9" t="s">
        <v>178</v>
      </c>
      <c r="H6" s="10">
        <f>SUM(E2:E151)</f>
        <v>2.49261E+16</v>
      </c>
    </row>
    <row r="7">
      <c r="A7" s="7">
        <v>23.0</v>
      </c>
      <c r="B7" s="7">
        <v>1.9083912E7</v>
      </c>
      <c r="C7" s="7">
        <f t="shared" si="2"/>
        <v>438929976</v>
      </c>
      <c r="D7" s="7">
        <f t="shared" ref="D7:E7" si="7">A7^2</f>
        <v>529</v>
      </c>
      <c r="E7" s="8">
        <f t="shared" si="7"/>
        <v>364195697223744</v>
      </c>
      <c r="G7" s="9" t="s">
        <v>179</v>
      </c>
      <c r="H7" s="2">
        <f>counta(A2:A151)</f>
        <v>150</v>
      </c>
    </row>
    <row r="8">
      <c r="A8" s="7">
        <v>54.0</v>
      </c>
      <c r="B8" s="7">
        <v>8936569.0</v>
      </c>
      <c r="C8" s="7">
        <f t="shared" si="2"/>
        <v>482574726</v>
      </c>
      <c r="D8" s="7">
        <f t="shared" ref="D8:E8" si="8">A8^2</f>
        <v>2916</v>
      </c>
      <c r="E8" s="8">
        <f t="shared" si="8"/>
        <v>79862265491761</v>
      </c>
    </row>
    <row r="9">
      <c r="A9" s="7">
        <v>51.0</v>
      </c>
      <c r="B9" s="7">
        <v>1.1766009E7</v>
      </c>
      <c r="C9" s="7">
        <f t="shared" si="2"/>
        <v>600066459</v>
      </c>
      <c r="D9" s="7">
        <f t="shared" ref="D9:E9" si="9">A9^2</f>
        <v>2601</v>
      </c>
      <c r="E9" s="8">
        <f t="shared" si="9"/>
        <v>138438967788081</v>
      </c>
      <c r="G9" s="9" t="s">
        <v>180</v>
      </c>
      <c r="H9" s="2">
        <f>H2-((H3*H4)/H7)</f>
        <v>235888517.9</v>
      </c>
    </row>
    <row r="10">
      <c r="A10" s="7">
        <v>51.0</v>
      </c>
      <c r="B10" s="7">
        <v>1.8099831E7</v>
      </c>
      <c r="C10" s="7">
        <f t="shared" si="2"/>
        <v>923091381</v>
      </c>
      <c r="D10" s="7">
        <f t="shared" ref="D10:E10" si="10">A10^2</f>
        <v>2601</v>
      </c>
      <c r="E10" s="8">
        <f t="shared" si="10"/>
        <v>327603882228561</v>
      </c>
      <c r="G10" s="9" t="s">
        <v>181</v>
      </c>
      <c r="H10" s="2">
        <f>H5-((H3^2)/H7)</f>
        <v>24108.24</v>
      </c>
    </row>
    <row r="11">
      <c r="A11" s="7">
        <v>35.0</v>
      </c>
      <c r="B11" s="7">
        <v>1.4000239E7</v>
      </c>
      <c r="C11" s="7">
        <f t="shared" si="2"/>
        <v>490008365</v>
      </c>
      <c r="D11" s="7">
        <f t="shared" ref="D11:E11" si="11">A11^2</f>
        <v>1225</v>
      </c>
      <c r="E11" s="8">
        <f t="shared" si="11"/>
        <v>196006692057121</v>
      </c>
      <c r="G11" s="9" t="s">
        <v>182</v>
      </c>
      <c r="H11" s="10">
        <f>H6-((H4^2)/H7)</f>
        <v>3.59859E+15</v>
      </c>
    </row>
    <row r="12">
      <c r="A12" s="7">
        <v>24.0</v>
      </c>
      <c r="B12" s="7">
        <v>1.4715249E7</v>
      </c>
      <c r="C12" s="7">
        <f t="shared" si="2"/>
        <v>353165976</v>
      </c>
      <c r="D12" s="7">
        <f t="shared" ref="D12:E12" si="12">A12^2</f>
        <v>576</v>
      </c>
      <c r="E12" s="8">
        <f t="shared" si="12"/>
        <v>216538553132001</v>
      </c>
      <c r="G12" s="9" t="s">
        <v>183</v>
      </c>
      <c r="H12" s="2">
        <f>H9/(SQRT(H10*H11))</f>
        <v>0.02532547988</v>
      </c>
    </row>
    <row r="13">
      <c r="A13" s="7">
        <v>21.0</v>
      </c>
      <c r="B13" s="7">
        <v>1.774707E7</v>
      </c>
      <c r="C13" s="7">
        <f t="shared" si="2"/>
        <v>372688470</v>
      </c>
      <c r="D13" s="7">
        <f t="shared" ref="D13:E13" si="13">A13^2</f>
        <v>441</v>
      </c>
      <c r="E13" s="8">
        <f t="shared" si="13"/>
        <v>314958493584900</v>
      </c>
      <c r="G13" s="9" t="s">
        <v>184</v>
      </c>
      <c r="H13" s="2">
        <f>H12^2</f>
        <v>0.0006413799314</v>
      </c>
    </row>
    <row r="14">
      <c r="A14" s="7">
        <v>29.0</v>
      </c>
      <c r="B14" s="7">
        <v>1.1336918E7</v>
      </c>
      <c r="C14" s="7">
        <f t="shared" si="2"/>
        <v>328770622</v>
      </c>
      <c r="D14" s="7">
        <f t="shared" ref="D14:E14" si="14">A14^2</f>
        <v>841</v>
      </c>
      <c r="E14" s="8">
        <f t="shared" si="14"/>
        <v>128525709738724</v>
      </c>
    </row>
    <row r="15">
      <c r="A15" s="7">
        <v>48.0</v>
      </c>
      <c r="B15" s="7">
        <v>1.9604676E7</v>
      </c>
      <c r="C15" s="7">
        <f t="shared" si="2"/>
        <v>941024448</v>
      </c>
      <c r="D15" s="7">
        <f t="shared" ref="D15:E15" si="15">A15^2</f>
        <v>2304</v>
      </c>
      <c r="E15" s="8">
        <f t="shared" si="15"/>
        <v>384343321064976</v>
      </c>
    </row>
    <row r="16">
      <c r="A16" s="7">
        <v>38.0</v>
      </c>
      <c r="B16" s="7">
        <v>1.5456081E7</v>
      </c>
      <c r="C16" s="7">
        <f t="shared" si="2"/>
        <v>587331078</v>
      </c>
      <c r="D16" s="7">
        <f t="shared" ref="D16:E16" si="16">A16^2</f>
        <v>1444</v>
      </c>
      <c r="E16" s="8">
        <f t="shared" si="16"/>
        <v>238890439878561</v>
      </c>
    </row>
    <row r="17">
      <c r="A17" s="7">
        <v>18.0</v>
      </c>
      <c r="B17" s="7">
        <v>4273781.0</v>
      </c>
      <c r="C17" s="7">
        <f t="shared" si="2"/>
        <v>76928058</v>
      </c>
      <c r="D17" s="7">
        <f t="shared" ref="D17:E17" si="17">A17^2</f>
        <v>324</v>
      </c>
      <c r="E17" s="8">
        <f t="shared" si="17"/>
        <v>18265204035961</v>
      </c>
    </row>
    <row r="18">
      <c r="A18" s="7">
        <v>19.0</v>
      </c>
      <c r="B18" s="7">
        <v>1.6402061E7</v>
      </c>
      <c r="C18" s="7">
        <f t="shared" si="2"/>
        <v>311639159</v>
      </c>
      <c r="D18" s="7">
        <f t="shared" ref="D18:E18" si="18">A18^2</f>
        <v>361</v>
      </c>
      <c r="E18" s="8">
        <f t="shared" si="18"/>
        <v>269027605047721</v>
      </c>
    </row>
    <row r="19">
      <c r="A19" s="7">
        <v>48.0</v>
      </c>
      <c r="B19" s="7">
        <v>1.9309592E7</v>
      </c>
      <c r="C19" s="7">
        <f t="shared" si="2"/>
        <v>926860416</v>
      </c>
      <c r="D19" s="7">
        <f t="shared" ref="D19:E19" si="19">A19^2</f>
        <v>2304</v>
      </c>
      <c r="E19" s="8">
        <f t="shared" si="19"/>
        <v>372860343206464</v>
      </c>
    </row>
    <row r="20">
      <c r="A20" s="7">
        <v>56.0</v>
      </c>
      <c r="B20" s="7">
        <v>1.7798272E7</v>
      </c>
      <c r="C20" s="7">
        <f t="shared" si="2"/>
        <v>996703232</v>
      </c>
      <c r="D20" s="7">
        <f t="shared" ref="D20:E20" si="20">A20^2</f>
        <v>3136</v>
      </c>
      <c r="E20" s="8">
        <f t="shared" si="20"/>
        <v>316778486185984</v>
      </c>
    </row>
    <row r="21">
      <c r="A21" s="7">
        <v>20.0</v>
      </c>
      <c r="B21" s="7">
        <v>1.0027036E7</v>
      </c>
      <c r="C21" s="7">
        <f t="shared" si="2"/>
        <v>200540720</v>
      </c>
      <c r="D21" s="7">
        <f t="shared" ref="D21:E21" si="21">A21^2</f>
        <v>400</v>
      </c>
      <c r="E21" s="8">
        <f t="shared" si="21"/>
        <v>100541450945296</v>
      </c>
    </row>
    <row r="22">
      <c r="A22" s="7">
        <v>59.0</v>
      </c>
      <c r="B22" s="7">
        <v>1.9118158E7</v>
      </c>
      <c r="C22" s="7">
        <f t="shared" si="2"/>
        <v>1127971322</v>
      </c>
      <c r="D22" s="7">
        <f t="shared" ref="D22:E22" si="22">A22^2</f>
        <v>3481</v>
      </c>
      <c r="E22" s="8">
        <f t="shared" si="22"/>
        <v>365503965312964</v>
      </c>
    </row>
    <row r="23">
      <c r="A23" s="7">
        <v>25.0</v>
      </c>
      <c r="B23" s="7">
        <v>1.498406E7</v>
      </c>
      <c r="C23" s="7">
        <f t="shared" si="2"/>
        <v>374601500</v>
      </c>
      <c r="D23" s="7">
        <f t="shared" ref="D23:E23" si="23">A23^2</f>
        <v>625</v>
      </c>
      <c r="E23" s="8">
        <f t="shared" si="23"/>
        <v>224522054083600</v>
      </c>
    </row>
    <row r="24">
      <c r="A24" s="7">
        <v>58.0</v>
      </c>
      <c r="B24" s="7">
        <v>7428696.0</v>
      </c>
      <c r="C24" s="7">
        <f t="shared" si="2"/>
        <v>430864368</v>
      </c>
      <c r="D24" s="7">
        <f t="shared" ref="D24:E24" si="24">A24^2</f>
        <v>3364</v>
      </c>
      <c r="E24" s="8">
        <f t="shared" si="24"/>
        <v>55185524260416</v>
      </c>
    </row>
    <row r="25">
      <c r="A25" s="7">
        <v>50.0</v>
      </c>
      <c r="B25" s="7">
        <v>3940656.0</v>
      </c>
      <c r="C25" s="7">
        <f t="shared" si="2"/>
        <v>197032800</v>
      </c>
      <c r="D25" s="7">
        <f t="shared" ref="D25:E25" si="25">A25^2</f>
        <v>2500</v>
      </c>
      <c r="E25" s="8">
        <f t="shared" si="25"/>
        <v>15528769710336</v>
      </c>
    </row>
    <row r="26">
      <c r="A26" s="7">
        <v>54.0</v>
      </c>
      <c r="B26" s="7">
        <v>8341592.0</v>
      </c>
      <c r="C26" s="7">
        <f t="shared" si="2"/>
        <v>450445968</v>
      </c>
      <c r="D26" s="7">
        <f t="shared" ref="D26:E26" si="26">A26^2</f>
        <v>2916</v>
      </c>
      <c r="E26" s="8">
        <f t="shared" si="26"/>
        <v>69582157094464</v>
      </c>
    </row>
    <row r="27">
      <c r="A27" s="7">
        <v>36.0</v>
      </c>
      <c r="B27" s="7">
        <v>1.5476588E7</v>
      </c>
      <c r="C27" s="7">
        <f t="shared" si="2"/>
        <v>557157168</v>
      </c>
      <c r="D27" s="7">
        <f t="shared" ref="D27:E27" si="27">A27^2</f>
        <v>1296</v>
      </c>
      <c r="E27" s="8">
        <f t="shared" si="27"/>
        <v>239524776121744</v>
      </c>
    </row>
    <row r="28">
      <c r="A28" s="7">
        <v>49.0</v>
      </c>
      <c r="B28" s="7">
        <v>7341151.0</v>
      </c>
      <c r="C28" s="7">
        <f t="shared" si="2"/>
        <v>359716399</v>
      </c>
      <c r="D28" s="7">
        <f t="shared" ref="D28:E28" si="28">A28^2</f>
        <v>2401</v>
      </c>
      <c r="E28" s="8">
        <f t="shared" si="28"/>
        <v>53892498004801</v>
      </c>
    </row>
    <row r="29">
      <c r="A29" s="7">
        <v>21.0</v>
      </c>
      <c r="B29" s="7">
        <v>1.3436619E7</v>
      </c>
      <c r="C29" s="7">
        <f t="shared" si="2"/>
        <v>282168999</v>
      </c>
      <c r="D29" s="7">
        <f t="shared" ref="D29:E29" si="29">A29^2</f>
        <v>441</v>
      </c>
      <c r="E29" s="8">
        <f t="shared" si="29"/>
        <v>180542730151161</v>
      </c>
    </row>
    <row r="30">
      <c r="A30" s="7">
        <v>27.0</v>
      </c>
      <c r="B30" s="7">
        <v>1.3309617E7</v>
      </c>
      <c r="C30" s="7">
        <f t="shared" si="2"/>
        <v>359359659</v>
      </c>
      <c r="D30" s="7">
        <f t="shared" ref="D30:E30" si="30">A30^2</f>
        <v>729</v>
      </c>
      <c r="E30" s="8">
        <f t="shared" si="30"/>
        <v>177145904686689</v>
      </c>
    </row>
    <row r="31">
      <c r="A31" s="7">
        <v>34.0</v>
      </c>
      <c r="B31" s="7">
        <v>1.2833134E7</v>
      </c>
      <c r="C31" s="7">
        <f t="shared" si="2"/>
        <v>436326556</v>
      </c>
      <c r="D31" s="7">
        <f t="shared" ref="D31:E31" si="31">A31^2</f>
        <v>1156</v>
      </c>
      <c r="E31" s="8">
        <f t="shared" si="31"/>
        <v>164689328261956</v>
      </c>
    </row>
    <row r="32">
      <c r="A32" s="7">
        <v>56.0</v>
      </c>
      <c r="B32" s="7">
        <v>8356753.0</v>
      </c>
      <c r="C32" s="7">
        <f t="shared" si="2"/>
        <v>467978168</v>
      </c>
      <c r="D32" s="7">
        <f t="shared" ref="D32:E32" si="32">A32^2</f>
        <v>3136</v>
      </c>
      <c r="E32" s="8">
        <f t="shared" si="32"/>
        <v>69835320703009</v>
      </c>
    </row>
    <row r="33">
      <c r="A33" s="7">
        <v>48.0</v>
      </c>
      <c r="B33" s="7">
        <v>1.5046387E7</v>
      </c>
      <c r="C33" s="7">
        <f t="shared" si="2"/>
        <v>722226576</v>
      </c>
      <c r="D33" s="7">
        <f t="shared" ref="D33:E33" si="33">A33^2</f>
        <v>2304</v>
      </c>
      <c r="E33" s="8">
        <f t="shared" si="33"/>
        <v>226393761753769</v>
      </c>
    </row>
    <row r="34">
      <c r="A34" s="7">
        <v>48.0</v>
      </c>
      <c r="B34" s="7">
        <v>1.8298936E7</v>
      </c>
      <c r="C34" s="7">
        <f t="shared" si="2"/>
        <v>878348928</v>
      </c>
      <c r="D34" s="7">
        <f t="shared" ref="D34:E34" si="34">A34^2</f>
        <v>2304</v>
      </c>
      <c r="E34" s="8">
        <f t="shared" si="34"/>
        <v>334851058732096</v>
      </c>
    </row>
    <row r="35">
      <c r="A35" s="7">
        <v>20.0</v>
      </c>
      <c r="B35" s="7">
        <v>1.2742482E7</v>
      </c>
      <c r="C35" s="7">
        <f t="shared" si="2"/>
        <v>254849640</v>
      </c>
      <c r="D35" s="7">
        <f t="shared" ref="D35:E35" si="35">A35^2</f>
        <v>400</v>
      </c>
      <c r="E35" s="8">
        <f t="shared" si="35"/>
        <v>162370847520324</v>
      </c>
    </row>
    <row r="36">
      <c r="A36" s="7">
        <v>47.0</v>
      </c>
      <c r="B36" s="7">
        <v>8753091.0</v>
      </c>
      <c r="C36" s="7">
        <f t="shared" si="2"/>
        <v>411395277</v>
      </c>
      <c r="D36" s="7">
        <f t="shared" ref="D36:E36" si="36">A36^2</f>
        <v>2209</v>
      </c>
      <c r="E36" s="8">
        <f t="shared" si="36"/>
        <v>76616602054281</v>
      </c>
    </row>
    <row r="37">
      <c r="A37" s="7">
        <v>18.0</v>
      </c>
      <c r="B37" s="7">
        <v>1.5180706E7</v>
      </c>
      <c r="C37" s="7">
        <f t="shared" si="2"/>
        <v>273252708</v>
      </c>
      <c r="D37" s="7">
        <f t="shared" ref="D37:E37" si="37">A37^2</f>
        <v>324</v>
      </c>
      <c r="E37" s="8">
        <f t="shared" si="37"/>
        <v>230453834658436</v>
      </c>
    </row>
    <row r="38">
      <c r="A38" s="7">
        <v>52.0</v>
      </c>
      <c r="B38" s="7">
        <v>1.0792766E7</v>
      </c>
      <c r="C38" s="7">
        <f t="shared" si="2"/>
        <v>561223832</v>
      </c>
      <c r="D38" s="7">
        <f t="shared" ref="D38:E38" si="38">A38^2</f>
        <v>2704</v>
      </c>
      <c r="E38" s="8">
        <f t="shared" si="38"/>
        <v>116483797930756</v>
      </c>
    </row>
    <row r="39">
      <c r="A39" s="7">
        <v>54.0</v>
      </c>
      <c r="B39" s="7">
        <v>9066315.0</v>
      </c>
      <c r="C39" s="7">
        <f t="shared" si="2"/>
        <v>489581010</v>
      </c>
      <c r="D39" s="7">
        <f t="shared" ref="D39:E39" si="39">A39^2</f>
        <v>2916</v>
      </c>
      <c r="E39" s="8">
        <f t="shared" si="39"/>
        <v>82198067679225</v>
      </c>
    </row>
    <row r="40">
      <c r="A40" s="7">
        <v>34.0</v>
      </c>
      <c r="B40" s="7">
        <v>1.3192406E7</v>
      </c>
      <c r="C40" s="7">
        <f t="shared" si="2"/>
        <v>448541804</v>
      </c>
      <c r="D40" s="7">
        <f t="shared" ref="D40:E40" si="40">A40^2</f>
        <v>1156</v>
      </c>
      <c r="E40" s="8">
        <f t="shared" si="40"/>
        <v>174039576068836</v>
      </c>
    </row>
    <row r="41">
      <c r="A41" s="7">
        <v>55.0</v>
      </c>
      <c r="B41" s="7">
        <v>1.1073609E7</v>
      </c>
      <c r="C41" s="7">
        <f t="shared" si="2"/>
        <v>609048495</v>
      </c>
      <c r="D41" s="7">
        <f t="shared" ref="D41:E41" si="41">A41^2</f>
        <v>3025</v>
      </c>
      <c r="E41" s="8">
        <f t="shared" si="41"/>
        <v>122624816284881</v>
      </c>
    </row>
    <row r="42">
      <c r="A42" s="7">
        <v>45.0</v>
      </c>
      <c r="B42" s="7">
        <v>1.3493455E7</v>
      </c>
      <c r="C42" s="7">
        <f t="shared" si="2"/>
        <v>607205475</v>
      </c>
      <c r="D42" s="7">
        <f t="shared" ref="D42:E42" si="42">A42^2</f>
        <v>2025</v>
      </c>
      <c r="E42" s="8">
        <f t="shared" si="42"/>
        <v>182073327837025</v>
      </c>
    </row>
    <row r="43">
      <c r="A43" s="7">
        <v>45.0</v>
      </c>
      <c r="B43" s="7">
        <v>9640118.0</v>
      </c>
      <c r="C43" s="7">
        <f t="shared" si="2"/>
        <v>433805310</v>
      </c>
      <c r="D43" s="7">
        <f t="shared" ref="D43:E43" si="43">A43^2</f>
        <v>2025</v>
      </c>
      <c r="E43" s="8">
        <f t="shared" si="43"/>
        <v>92931875053924</v>
      </c>
    </row>
    <row r="44">
      <c r="A44" s="7">
        <v>29.0</v>
      </c>
      <c r="B44" s="7">
        <v>1.788145E7</v>
      </c>
      <c r="C44" s="7">
        <f t="shared" si="2"/>
        <v>518562050</v>
      </c>
      <c r="D44" s="7">
        <f t="shared" ref="D44:E44" si="44">A44^2</f>
        <v>841</v>
      </c>
      <c r="E44" s="8">
        <f t="shared" si="44"/>
        <v>319746254102500</v>
      </c>
    </row>
    <row r="45">
      <c r="A45" s="7">
        <v>36.0</v>
      </c>
      <c r="B45" s="7">
        <v>1.152095E7</v>
      </c>
      <c r="C45" s="7">
        <f t="shared" si="2"/>
        <v>414754200</v>
      </c>
      <c r="D45" s="7">
        <f t="shared" ref="D45:E45" si="45">A45^2</f>
        <v>1296</v>
      </c>
      <c r="E45" s="8">
        <f t="shared" si="45"/>
        <v>132732288902500</v>
      </c>
    </row>
    <row r="46">
      <c r="A46" s="7">
        <v>26.0</v>
      </c>
      <c r="B46" s="7">
        <v>6335767.0</v>
      </c>
      <c r="C46" s="7">
        <f t="shared" si="2"/>
        <v>164729942</v>
      </c>
      <c r="D46" s="7">
        <f t="shared" ref="D46:E46" si="46">A46^2</f>
        <v>676</v>
      </c>
      <c r="E46" s="8">
        <f t="shared" si="46"/>
        <v>40141943478289</v>
      </c>
    </row>
    <row r="47">
      <c r="A47" s="7">
        <v>45.0</v>
      </c>
      <c r="B47" s="7">
        <v>1.5936702E7</v>
      </c>
      <c r="C47" s="7">
        <f t="shared" si="2"/>
        <v>717151590</v>
      </c>
      <c r="D47" s="7">
        <f t="shared" ref="D47:E47" si="47">A47^2</f>
        <v>2025</v>
      </c>
      <c r="E47" s="8">
        <f t="shared" si="47"/>
        <v>253978470636804</v>
      </c>
    </row>
    <row r="48">
      <c r="A48" s="7">
        <v>46.0</v>
      </c>
      <c r="B48" s="7">
        <v>1.187642E7</v>
      </c>
      <c r="C48" s="7">
        <f t="shared" si="2"/>
        <v>546315320</v>
      </c>
      <c r="D48" s="7">
        <f t="shared" ref="D48:E48" si="48">A48^2</f>
        <v>2116</v>
      </c>
      <c r="E48" s="8">
        <f t="shared" si="48"/>
        <v>141049352016400</v>
      </c>
    </row>
    <row r="49">
      <c r="A49" s="7">
        <v>34.0</v>
      </c>
      <c r="B49" s="7">
        <v>1.5893175E7</v>
      </c>
      <c r="C49" s="7">
        <f t="shared" si="2"/>
        <v>540367950</v>
      </c>
      <c r="D49" s="7">
        <f t="shared" ref="D49:E49" si="49">A49^2</f>
        <v>1156</v>
      </c>
      <c r="E49" s="8">
        <f t="shared" si="49"/>
        <v>252593011580625</v>
      </c>
    </row>
    <row r="50">
      <c r="A50" s="7">
        <v>55.0</v>
      </c>
      <c r="B50" s="7">
        <v>1.3773969E7</v>
      </c>
      <c r="C50" s="7">
        <f t="shared" si="2"/>
        <v>757568295</v>
      </c>
      <c r="D50" s="7">
        <f t="shared" ref="D50:E50" si="50">A50^2</f>
        <v>3025</v>
      </c>
      <c r="E50" s="8">
        <f t="shared" si="50"/>
        <v>189722222012961</v>
      </c>
    </row>
    <row r="51">
      <c r="A51" s="7">
        <v>55.0</v>
      </c>
      <c r="B51" s="7">
        <v>1.5726492E7</v>
      </c>
      <c r="C51" s="7">
        <f t="shared" si="2"/>
        <v>864957060</v>
      </c>
      <c r="D51" s="7">
        <f t="shared" ref="D51:E51" si="51">A51^2</f>
        <v>3025</v>
      </c>
      <c r="E51" s="8">
        <f t="shared" si="51"/>
        <v>247322550626064</v>
      </c>
    </row>
    <row r="52">
      <c r="A52" s="7">
        <v>36.0</v>
      </c>
      <c r="B52" s="7">
        <v>5691998.0</v>
      </c>
      <c r="C52" s="7">
        <f t="shared" si="2"/>
        <v>204911928</v>
      </c>
      <c r="D52" s="7">
        <f t="shared" ref="D52:E52" si="52">A52^2</f>
        <v>1296</v>
      </c>
      <c r="E52" s="8">
        <f t="shared" si="52"/>
        <v>32398841232004</v>
      </c>
    </row>
    <row r="53">
      <c r="A53" s="7">
        <v>25.0</v>
      </c>
      <c r="B53" s="7">
        <v>6858739.0</v>
      </c>
      <c r="C53" s="7">
        <f t="shared" si="2"/>
        <v>171468475</v>
      </c>
      <c r="D53" s="7">
        <f t="shared" ref="D53:E53" si="53">A53^2</f>
        <v>625</v>
      </c>
      <c r="E53" s="8">
        <f t="shared" si="53"/>
        <v>47042300670121</v>
      </c>
    </row>
    <row r="54">
      <c r="A54" s="7">
        <v>53.0</v>
      </c>
      <c r="B54" s="7">
        <v>8755815.0</v>
      </c>
      <c r="C54" s="7">
        <f t="shared" si="2"/>
        <v>464058195</v>
      </c>
      <c r="D54" s="7">
        <f t="shared" ref="D54:E54" si="54">A54^2</f>
        <v>2809</v>
      </c>
      <c r="E54" s="8">
        <f t="shared" si="54"/>
        <v>76664296314225</v>
      </c>
    </row>
    <row r="55">
      <c r="A55" s="7">
        <v>27.0</v>
      </c>
      <c r="B55" s="7">
        <v>1.7464535E7</v>
      </c>
      <c r="C55" s="7">
        <f t="shared" si="2"/>
        <v>471542445</v>
      </c>
      <c r="D55" s="7">
        <f t="shared" ref="D55:E55" si="55">A55^2</f>
        <v>729</v>
      </c>
      <c r="E55" s="8">
        <f t="shared" si="55"/>
        <v>305009982766225</v>
      </c>
    </row>
    <row r="56">
      <c r="A56" s="7">
        <v>18.0</v>
      </c>
      <c r="B56" s="7">
        <v>1.8732209E7</v>
      </c>
      <c r="C56" s="7">
        <f t="shared" si="2"/>
        <v>337179762</v>
      </c>
      <c r="D56" s="7">
        <f t="shared" ref="D56:E56" si="56">A56^2</f>
        <v>324</v>
      </c>
      <c r="E56" s="8">
        <f t="shared" si="56"/>
        <v>350895654019681</v>
      </c>
    </row>
    <row r="57">
      <c r="A57" s="7">
        <v>22.0</v>
      </c>
      <c r="B57" s="7">
        <v>9467398.0</v>
      </c>
      <c r="C57" s="7">
        <f t="shared" si="2"/>
        <v>208282756</v>
      </c>
      <c r="D57" s="7">
        <f t="shared" ref="D57:E57" si="57">A57^2</f>
        <v>484</v>
      </c>
      <c r="E57" s="8">
        <f t="shared" si="57"/>
        <v>89631624890404</v>
      </c>
    </row>
    <row r="58">
      <c r="A58" s="7">
        <v>35.0</v>
      </c>
      <c r="B58" s="7">
        <v>7301639.0</v>
      </c>
      <c r="C58" s="7">
        <f t="shared" si="2"/>
        <v>255557365</v>
      </c>
      <c r="D58" s="7">
        <f t="shared" ref="D58:E58" si="58">A58^2</f>
        <v>1225</v>
      </c>
      <c r="E58" s="8">
        <f t="shared" si="58"/>
        <v>53313932086321</v>
      </c>
    </row>
    <row r="59">
      <c r="A59" s="7">
        <v>49.0</v>
      </c>
      <c r="B59" s="7">
        <v>1.9370196E7</v>
      </c>
      <c r="C59" s="7">
        <f t="shared" si="2"/>
        <v>949139604</v>
      </c>
      <c r="D59" s="7">
        <f t="shared" ref="D59:E59" si="59">A59^2</f>
        <v>2401</v>
      </c>
      <c r="E59" s="8">
        <f t="shared" si="59"/>
        <v>375204493078416</v>
      </c>
    </row>
    <row r="60">
      <c r="A60" s="7">
        <v>20.0</v>
      </c>
      <c r="B60" s="7">
        <v>1.4824387E7</v>
      </c>
      <c r="C60" s="7">
        <f t="shared" si="2"/>
        <v>296487740</v>
      </c>
      <c r="D60" s="7">
        <f t="shared" ref="D60:E60" si="60">A60^2</f>
        <v>400</v>
      </c>
      <c r="E60" s="8">
        <f t="shared" si="60"/>
        <v>219762449925769</v>
      </c>
    </row>
    <row r="61">
      <c r="A61" s="7">
        <v>54.0</v>
      </c>
      <c r="B61" s="7">
        <v>1.6132153E7</v>
      </c>
      <c r="C61" s="7">
        <f t="shared" si="2"/>
        <v>871136262</v>
      </c>
      <c r="D61" s="7">
        <f t="shared" ref="D61:E61" si="61">A61^2</f>
        <v>2916</v>
      </c>
      <c r="E61" s="8">
        <f t="shared" si="61"/>
        <v>260246360415409</v>
      </c>
    </row>
    <row r="62">
      <c r="A62" s="7">
        <v>49.0</v>
      </c>
      <c r="B62" s="7">
        <v>5756349.0</v>
      </c>
      <c r="C62" s="7">
        <f t="shared" si="2"/>
        <v>282061101</v>
      </c>
      <c r="D62" s="7">
        <f t="shared" ref="D62:E62" si="62">A62^2</f>
        <v>2401</v>
      </c>
      <c r="E62" s="8">
        <f t="shared" si="62"/>
        <v>33135553809801</v>
      </c>
    </row>
    <row r="63">
      <c r="A63" s="7">
        <v>38.0</v>
      </c>
      <c r="B63" s="7">
        <v>5873589.0</v>
      </c>
      <c r="C63" s="7">
        <f t="shared" si="2"/>
        <v>223196382</v>
      </c>
      <c r="D63" s="7">
        <f t="shared" ref="D63:E63" si="63">A63^2</f>
        <v>1444</v>
      </c>
      <c r="E63" s="8">
        <f t="shared" si="63"/>
        <v>34499047740921</v>
      </c>
    </row>
    <row r="64">
      <c r="A64" s="7">
        <v>26.0</v>
      </c>
      <c r="B64" s="7">
        <v>3148508.0</v>
      </c>
      <c r="C64" s="7">
        <f t="shared" si="2"/>
        <v>81861208</v>
      </c>
      <c r="D64" s="7">
        <f t="shared" ref="D64:E64" si="64">A64^2</f>
        <v>676</v>
      </c>
      <c r="E64" s="8">
        <f t="shared" si="64"/>
        <v>9913102626064</v>
      </c>
    </row>
    <row r="65">
      <c r="A65" s="7">
        <v>36.0</v>
      </c>
      <c r="B65" s="7">
        <v>1.353794E7</v>
      </c>
      <c r="C65" s="7">
        <f t="shared" si="2"/>
        <v>487365840</v>
      </c>
      <c r="D65" s="7">
        <f t="shared" ref="D65:E65" si="65">A65^2</f>
        <v>1296</v>
      </c>
      <c r="E65" s="8">
        <f t="shared" si="65"/>
        <v>183275819443600</v>
      </c>
    </row>
    <row r="66">
      <c r="A66" s="7">
        <v>35.0</v>
      </c>
      <c r="B66" s="7">
        <v>1.2252907E7</v>
      </c>
      <c r="C66" s="7">
        <f t="shared" si="2"/>
        <v>428851745</v>
      </c>
      <c r="D66" s="7">
        <f t="shared" ref="D66:E66" si="66">A66^2</f>
        <v>1225</v>
      </c>
      <c r="E66" s="8">
        <f t="shared" si="66"/>
        <v>150133729950649</v>
      </c>
    </row>
    <row r="67">
      <c r="A67" s="7">
        <v>45.0</v>
      </c>
      <c r="B67" s="7">
        <v>9362138.0</v>
      </c>
      <c r="C67" s="7">
        <f t="shared" si="2"/>
        <v>421296210</v>
      </c>
      <c r="D67" s="7">
        <f t="shared" ref="D67:E67" si="67">A67^2</f>
        <v>2025</v>
      </c>
      <c r="E67" s="8">
        <f t="shared" si="67"/>
        <v>87649627931044</v>
      </c>
    </row>
    <row r="68">
      <c r="A68" s="7">
        <v>32.0</v>
      </c>
      <c r="B68" s="7">
        <v>6262952.0</v>
      </c>
      <c r="C68" s="7">
        <f t="shared" si="2"/>
        <v>200414464</v>
      </c>
      <c r="D68" s="7">
        <f t="shared" ref="D68:E68" si="68">A68^2</f>
        <v>1024</v>
      </c>
      <c r="E68" s="8">
        <f t="shared" si="68"/>
        <v>39224567754304</v>
      </c>
    </row>
    <row r="69">
      <c r="A69" s="7">
        <v>46.0</v>
      </c>
      <c r="B69" s="7">
        <v>1.0023859E7</v>
      </c>
      <c r="C69" s="7">
        <f t="shared" si="2"/>
        <v>461097514</v>
      </c>
      <c r="D69" s="7">
        <f t="shared" ref="D69:E69" si="69">A69^2</f>
        <v>2116</v>
      </c>
      <c r="E69" s="8">
        <f t="shared" si="69"/>
        <v>100477749251881</v>
      </c>
    </row>
    <row r="70">
      <c r="A70" s="7">
        <v>33.0</v>
      </c>
      <c r="B70" s="7">
        <v>9354913.0</v>
      </c>
      <c r="C70" s="7">
        <f t="shared" si="2"/>
        <v>308712129</v>
      </c>
      <c r="D70" s="7">
        <f t="shared" ref="D70:E70" si="70">A70^2</f>
        <v>1089</v>
      </c>
      <c r="E70" s="8">
        <f t="shared" si="70"/>
        <v>87514397237569</v>
      </c>
    </row>
    <row r="71">
      <c r="A71" s="7">
        <v>23.0</v>
      </c>
      <c r="B71" s="7">
        <v>1.9266307E7</v>
      </c>
      <c r="C71" s="7">
        <f t="shared" si="2"/>
        <v>443125061</v>
      </c>
      <c r="D71" s="7">
        <f t="shared" ref="D71:E71" si="71">A71^2</f>
        <v>529</v>
      </c>
      <c r="E71" s="8">
        <f t="shared" si="71"/>
        <v>371190585418249</v>
      </c>
    </row>
    <row r="72">
      <c r="A72" s="7">
        <v>45.0</v>
      </c>
      <c r="B72" s="7">
        <v>1.0712096E7</v>
      </c>
      <c r="C72" s="7">
        <f t="shared" si="2"/>
        <v>482044320</v>
      </c>
      <c r="D72" s="7">
        <f t="shared" ref="D72:E72" si="72">A72^2</f>
        <v>2025</v>
      </c>
      <c r="E72" s="8">
        <f t="shared" si="72"/>
        <v>114749000713216</v>
      </c>
    </row>
    <row r="73">
      <c r="A73" s="7">
        <v>26.0</v>
      </c>
      <c r="B73" s="7">
        <v>3446580.0</v>
      </c>
      <c r="C73" s="7">
        <f t="shared" si="2"/>
        <v>89611080</v>
      </c>
      <c r="D73" s="7">
        <f t="shared" ref="D73:E73" si="73">A73^2</f>
        <v>676</v>
      </c>
      <c r="E73" s="8">
        <f t="shared" si="73"/>
        <v>11878913696400</v>
      </c>
    </row>
    <row r="74">
      <c r="A74" s="7">
        <v>48.0</v>
      </c>
      <c r="B74" s="7">
        <v>1.2967112E7</v>
      </c>
      <c r="C74" s="7">
        <f t="shared" si="2"/>
        <v>622421376</v>
      </c>
      <c r="D74" s="7">
        <f t="shared" ref="D74:E74" si="74">A74^2</f>
        <v>2304</v>
      </c>
      <c r="E74" s="8">
        <f t="shared" si="74"/>
        <v>168145993620544</v>
      </c>
    </row>
    <row r="75">
      <c r="A75" s="7">
        <v>30.0</v>
      </c>
      <c r="B75" s="7">
        <v>9920843.0</v>
      </c>
      <c r="C75" s="7">
        <f t="shared" si="2"/>
        <v>297625290</v>
      </c>
      <c r="D75" s="7">
        <f t="shared" ref="D75:E75" si="75">A75^2</f>
        <v>900</v>
      </c>
      <c r="E75" s="8">
        <f t="shared" si="75"/>
        <v>98423125830649</v>
      </c>
    </row>
    <row r="76">
      <c r="A76" s="7">
        <v>34.0</v>
      </c>
      <c r="B76" s="7">
        <v>7734185.0</v>
      </c>
      <c r="C76" s="7">
        <f t="shared" si="2"/>
        <v>262962290</v>
      </c>
      <c r="D76" s="7">
        <f t="shared" ref="D76:E76" si="76">A76^2</f>
        <v>1156</v>
      </c>
      <c r="E76" s="8">
        <f t="shared" si="76"/>
        <v>59817617614225</v>
      </c>
    </row>
    <row r="77">
      <c r="A77" s="7">
        <v>37.0</v>
      </c>
      <c r="B77" s="7">
        <v>5968085.0</v>
      </c>
      <c r="C77" s="7">
        <f t="shared" si="2"/>
        <v>220819145</v>
      </c>
      <c r="D77" s="7">
        <f t="shared" ref="D77:E77" si="77">A77^2</f>
        <v>1369</v>
      </c>
      <c r="E77" s="8">
        <f t="shared" si="77"/>
        <v>35618038567225</v>
      </c>
    </row>
    <row r="78">
      <c r="A78" s="7">
        <v>58.0</v>
      </c>
      <c r="B78" s="7">
        <v>1.1892944E7</v>
      </c>
      <c r="C78" s="7">
        <f t="shared" si="2"/>
        <v>689790752</v>
      </c>
      <c r="D78" s="7">
        <f t="shared" ref="D78:E78" si="78">A78^2</f>
        <v>3364</v>
      </c>
      <c r="E78" s="8">
        <f t="shared" si="78"/>
        <v>141442116987136</v>
      </c>
    </row>
    <row r="79">
      <c r="A79" s="7">
        <v>20.0</v>
      </c>
      <c r="B79" s="7">
        <v>1.8308491E7</v>
      </c>
      <c r="C79" s="7">
        <f t="shared" si="2"/>
        <v>366169820</v>
      </c>
      <c r="D79" s="7">
        <f t="shared" ref="D79:E79" si="79">A79^2</f>
        <v>400</v>
      </c>
      <c r="E79" s="8">
        <f t="shared" si="79"/>
        <v>335200842697081</v>
      </c>
    </row>
    <row r="80">
      <c r="A80" s="7">
        <v>43.0</v>
      </c>
      <c r="B80" s="7">
        <v>8342007.0</v>
      </c>
      <c r="C80" s="7">
        <f t="shared" si="2"/>
        <v>358706301</v>
      </c>
      <c r="D80" s="7">
        <f t="shared" ref="D80:E80" si="80">A80^2</f>
        <v>1849</v>
      </c>
      <c r="E80" s="8">
        <f t="shared" si="80"/>
        <v>69589080788049</v>
      </c>
    </row>
    <row r="81">
      <c r="A81" s="7">
        <v>29.0</v>
      </c>
      <c r="B81" s="7">
        <v>1.3934208E7</v>
      </c>
      <c r="C81" s="7">
        <f t="shared" si="2"/>
        <v>404092032</v>
      </c>
      <c r="D81" s="7">
        <f t="shared" ref="D81:E81" si="81">A81^2</f>
        <v>841</v>
      </c>
      <c r="E81" s="8">
        <f t="shared" si="81"/>
        <v>194162152587264</v>
      </c>
    </row>
    <row r="82">
      <c r="A82" s="7">
        <v>22.0</v>
      </c>
      <c r="B82" s="7">
        <v>1.0759064E7</v>
      </c>
      <c r="C82" s="7">
        <f t="shared" si="2"/>
        <v>236699408</v>
      </c>
      <c r="D82" s="7">
        <f t="shared" ref="D82:E82" si="82">A82^2</f>
        <v>484</v>
      </c>
      <c r="E82" s="8">
        <f t="shared" si="82"/>
        <v>115757458156096</v>
      </c>
    </row>
    <row r="83">
      <c r="A83" s="7">
        <v>51.0</v>
      </c>
      <c r="B83" s="7">
        <v>1.1642087E7</v>
      </c>
      <c r="C83" s="7">
        <f t="shared" si="2"/>
        <v>593746437</v>
      </c>
      <c r="D83" s="7">
        <f t="shared" ref="D83:E83" si="83">A83^2</f>
        <v>2601</v>
      </c>
      <c r="E83" s="8">
        <f t="shared" si="83"/>
        <v>135538189715569</v>
      </c>
    </row>
    <row r="84">
      <c r="A84" s="7">
        <v>58.0</v>
      </c>
      <c r="B84" s="7">
        <v>1.9362393E7</v>
      </c>
      <c r="C84" s="7">
        <f t="shared" si="2"/>
        <v>1123018794</v>
      </c>
      <c r="D84" s="7">
        <f t="shared" ref="D84:E84" si="84">A84^2</f>
        <v>3364</v>
      </c>
      <c r="E84" s="8">
        <f t="shared" si="84"/>
        <v>374902262686449</v>
      </c>
    </row>
    <row r="85">
      <c r="A85" s="7">
        <v>28.0</v>
      </c>
      <c r="B85" s="7">
        <v>1.7826375E7</v>
      </c>
      <c r="C85" s="7">
        <f t="shared" si="2"/>
        <v>499138500</v>
      </c>
      <c r="D85" s="7">
        <f t="shared" ref="D85:E85" si="85">A85^2</f>
        <v>784</v>
      </c>
      <c r="E85" s="8">
        <f t="shared" si="85"/>
        <v>317779645640625</v>
      </c>
    </row>
    <row r="86">
      <c r="A86" s="7">
        <v>50.0</v>
      </c>
      <c r="B86" s="7">
        <v>6557817.0</v>
      </c>
      <c r="C86" s="7">
        <f t="shared" si="2"/>
        <v>327890850</v>
      </c>
      <c r="D86" s="7">
        <f t="shared" ref="D86:E86" si="86">A86^2</f>
        <v>2500</v>
      </c>
      <c r="E86" s="8">
        <f t="shared" si="86"/>
        <v>43004963805489</v>
      </c>
    </row>
    <row r="87">
      <c r="A87" s="7">
        <v>19.0</v>
      </c>
      <c r="B87" s="7">
        <v>7608920.0</v>
      </c>
      <c r="C87" s="7">
        <f t="shared" si="2"/>
        <v>144569480</v>
      </c>
      <c r="D87" s="7">
        <f t="shared" ref="D87:E87" si="87">A87^2</f>
        <v>361</v>
      </c>
      <c r="E87" s="8">
        <f t="shared" si="87"/>
        <v>57895663566400</v>
      </c>
    </row>
    <row r="88">
      <c r="A88" s="7">
        <v>41.0</v>
      </c>
      <c r="B88" s="7">
        <v>5344402.0</v>
      </c>
      <c r="C88" s="7">
        <f t="shared" si="2"/>
        <v>219120482</v>
      </c>
      <c r="D88" s="7">
        <f t="shared" ref="D88:E88" si="88">A88^2</f>
        <v>1681</v>
      </c>
      <c r="E88" s="8">
        <f t="shared" si="88"/>
        <v>28562632737604</v>
      </c>
    </row>
    <row r="89">
      <c r="A89" s="7">
        <v>57.0</v>
      </c>
      <c r="B89" s="7">
        <v>1.6360831E7</v>
      </c>
      <c r="C89" s="7">
        <f t="shared" si="2"/>
        <v>932567367</v>
      </c>
      <c r="D89" s="7">
        <f t="shared" ref="D89:E89" si="89">A89^2</f>
        <v>3249</v>
      </c>
      <c r="E89" s="8">
        <f t="shared" si="89"/>
        <v>267676791010561</v>
      </c>
    </row>
    <row r="90">
      <c r="A90" s="7">
        <v>33.0</v>
      </c>
      <c r="B90" s="7">
        <v>9665097.0</v>
      </c>
      <c r="C90" s="7">
        <f t="shared" si="2"/>
        <v>318948201</v>
      </c>
      <c r="D90" s="7">
        <f t="shared" ref="D90:E90" si="90">A90^2</f>
        <v>1089</v>
      </c>
      <c r="E90" s="8">
        <f t="shared" si="90"/>
        <v>93414100019409</v>
      </c>
    </row>
    <row r="91">
      <c r="A91" s="7">
        <v>20.0</v>
      </c>
      <c r="B91" s="7">
        <v>1.7712644E7</v>
      </c>
      <c r="C91" s="7">
        <f t="shared" si="2"/>
        <v>354252880</v>
      </c>
      <c r="D91" s="7">
        <f t="shared" ref="D91:E91" si="91">A91^2</f>
        <v>400</v>
      </c>
      <c r="E91" s="8">
        <f t="shared" si="91"/>
        <v>313737757470736</v>
      </c>
    </row>
    <row r="92">
      <c r="A92" s="7">
        <v>29.0</v>
      </c>
      <c r="B92" s="7">
        <v>1.2810374E7</v>
      </c>
      <c r="C92" s="7">
        <f t="shared" si="2"/>
        <v>371500846</v>
      </c>
      <c r="D92" s="7">
        <f t="shared" ref="D92:E92" si="92">A92^2</f>
        <v>841</v>
      </c>
      <c r="E92" s="8">
        <f t="shared" si="92"/>
        <v>164105682019876</v>
      </c>
    </row>
    <row r="93">
      <c r="A93" s="7">
        <v>30.0</v>
      </c>
      <c r="B93" s="7">
        <v>1.5296892E7</v>
      </c>
      <c r="C93" s="7">
        <f t="shared" si="2"/>
        <v>458906760</v>
      </c>
      <c r="D93" s="7">
        <f t="shared" ref="D93:E93" si="93">A93^2</f>
        <v>900</v>
      </c>
      <c r="E93" s="8">
        <f t="shared" si="93"/>
        <v>233994904859664</v>
      </c>
    </row>
    <row r="94">
      <c r="A94" s="7">
        <v>21.0</v>
      </c>
      <c r="B94" s="7">
        <v>3459770.0</v>
      </c>
      <c r="C94" s="7">
        <f t="shared" si="2"/>
        <v>72655170</v>
      </c>
      <c r="D94" s="7">
        <f t="shared" ref="D94:E94" si="94">A94^2</f>
        <v>441</v>
      </c>
      <c r="E94" s="8">
        <f t="shared" si="94"/>
        <v>11970008452900</v>
      </c>
    </row>
    <row r="95">
      <c r="A95" s="7">
        <v>54.0</v>
      </c>
      <c r="B95" s="7">
        <v>2.0E7</v>
      </c>
      <c r="C95" s="7">
        <f t="shared" si="2"/>
        <v>1080000000</v>
      </c>
      <c r="D95" s="7">
        <f t="shared" ref="D95:E95" si="95">A95^2</f>
        <v>2916</v>
      </c>
      <c r="E95" s="8">
        <f t="shared" si="95"/>
        <v>400000000000000</v>
      </c>
    </row>
    <row r="96">
      <c r="A96" s="7">
        <v>50.0</v>
      </c>
      <c r="B96" s="7">
        <v>7709702.0</v>
      </c>
      <c r="C96" s="7">
        <f t="shared" si="2"/>
        <v>385485100</v>
      </c>
      <c r="D96" s="7">
        <f t="shared" ref="D96:E96" si="96">A96^2</f>
        <v>2500</v>
      </c>
      <c r="E96" s="8">
        <f t="shared" si="96"/>
        <v>59439504928804</v>
      </c>
    </row>
    <row r="97">
      <c r="A97" s="7">
        <v>22.0</v>
      </c>
      <c r="B97" s="7">
        <v>1.2408194E7</v>
      </c>
      <c r="C97" s="7">
        <f t="shared" si="2"/>
        <v>272980268</v>
      </c>
      <c r="D97" s="7">
        <f t="shared" ref="D97:E97" si="97">A97^2</f>
        <v>484</v>
      </c>
      <c r="E97" s="8">
        <f t="shared" si="97"/>
        <v>153963278341636</v>
      </c>
    </row>
    <row r="98">
      <c r="A98" s="7">
        <v>51.0</v>
      </c>
      <c r="B98" s="7">
        <v>1.6991685E7</v>
      </c>
      <c r="C98" s="7">
        <f t="shared" si="2"/>
        <v>866575935</v>
      </c>
      <c r="D98" s="7">
        <f t="shared" ref="D98:E98" si="98">A98^2</f>
        <v>2601</v>
      </c>
      <c r="E98" s="8">
        <f t="shared" si="98"/>
        <v>288717359139225</v>
      </c>
    </row>
    <row r="99">
      <c r="A99" s="7">
        <v>36.0</v>
      </c>
      <c r="B99" s="7">
        <v>5437962.0</v>
      </c>
      <c r="C99" s="7">
        <f t="shared" si="2"/>
        <v>195766632</v>
      </c>
      <c r="D99" s="7">
        <f t="shared" ref="D99:E99" si="99">A99^2</f>
        <v>1296</v>
      </c>
      <c r="E99" s="8">
        <f t="shared" si="99"/>
        <v>29571430713444</v>
      </c>
    </row>
    <row r="100">
      <c r="A100" s="7">
        <v>49.0</v>
      </c>
      <c r="B100" s="7">
        <v>1.9426187E7</v>
      </c>
      <c r="C100" s="7">
        <f t="shared" si="2"/>
        <v>951883163</v>
      </c>
      <c r="D100" s="7">
        <f t="shared" ref="D100:E100" si="100">A100^2</f>
        <v>2401</v>
      </c>
      <c r="E100" s="8">
        <f t="shared" si="100"/>
        <v>377376741358969</v>
      </c>
    </row>
    <row r="101">
      <c r="A101" s="7">
        <v>48.0</v>
      </c>
      <c r="B101" s="7">
        <v>1.3196181E7</v>
      </c>
      <c r="C101" s="7">
        <f t="shared" si="2"/>
        <v>633416688</v>
      </c>
      <c r="D101" s="7">
        <f t="shared" ref="D101:E101" si="101">A101^2</f>
        <v>2304</v>
      </c>
      <c r="E101" s="8">
        <f t="shared" si="101"/>
        <v>174139192984761</v>
      </c>
    </row>
    <row r="102">
      <c r="A102" s="7">
        <v>40.0</v>
      </c>
      <c r="B102" s="7">
        <v>1.7592168E7</v>
      </c>
      <c r="C102" s="7">
        <f t="shared" si="2"/>
        <v>703686720</v>
      </c>
      <c r="D102" s="7">
        <f t="shared" ref="D102:E102" si="102">A102^2</f>
        <v>1600</v>
      </c>
      <c r="E102" s="8">
        <f t="shared" si="102"/>
        <v>309484374940224</v>
      </c>
    </row>
    <row r="103">
      <c r="A103" s="7">
        <v>52.0</v>
      </c>
      <c r="B103" s="7">
        <v>1.8206488E7</v>
      </c>
      <c r="C103" s="7">
        <f t="shared" si="2"/>
        <v>946737376</v>
      </c>
      <c r="D103" s="7">
        <f t="shared" ref="D103:E103" si="103">A103^2</f>
        <v>2704</v>
      </c>
      <c r="E103" s="8">
        <f t="shared" si="103"/>
        <v>331476205294144</v>
      </c>
    </row>
    <row r="104">
      <c r="A104" s="7">
        <v>18.0</v>
      </c>
      <c r="B104" s="7">
        <v>3608061.0</v>
      </c>
      <c r="C104" s="7">
        <f t="shared" si="2"/>
        <v>64945098</v>
      </c>
      <c r="D104" s="7">
        <f t="shared" ref="D104:E104" si="104">A104^2</f>
        <v>324</v>
      </c>
      <c r="E104" s="8">
        <f t="shared" si="104"/>
        <v>13018104179721</v>
      </c>
    </row>
    <row r="105">
      <c r="A105" s="7">
        <v>22.0</v>
      </c>
      <c r="B105" s="7">
        <v>3787554.0</v>
      </c>
      <c r="C105" s="7">
        <f t="shared" si="2"/>
        <v>83326188</v>
      </c>
      <c r="D105" s="7">
        <f t="shared" ref="D105:E105" si="105">A105^2</f>
        <v>484</v>
      </c>
      <c r="E105" s="8">
        <f t="shared" si="105"/>
        <v>14345565302916</v>
      </c>
    </row>
    <row r="106">
      <c r="A106" s="7">
        <v>37.0</v>
      </c>
      <c r="B106" s="7">
        <v>8292937.0</v>
      </c>
      <c r="C106" s="7">
        <f t="shared" si="2"/>
        <v>306838669</v>
      </c>
      <c r="D106" s="7">
        <f t="shared" ref="D106:E106" si="106">A106^2</f>
        <v>1369</v>
      </c>
      <c r="E106" s="8">
        <f t="shared" si="106"/>
        <v>68772804085969</v>
      </c>
    </row>
    <row r="107">
      <c r="A107" s="7">
        <v>24.0</v>
      </c>
      <c r="B107" s="7">
        <v>6863134.0</v>
      </c>
      <c r="C107" s="7">
        <f t="shared" si="2"/>
        <v>164715216</v>
      </c>
      <c r="D107" s="7">
        <f t="shared" ref="D107:E107" si="107">A107^2</f>
        <v>576</v>
      </c>
      <c r="E107" s="8">
        <f t="shared" si="107"/>
        <v>47102608301956</v>
      </c>
    </row>
    <row r="108">
      <c r="A108" s="7">
        <v>33.0</v>
      </c>
      <c r="B108" s="7">
        <v>1.6826711E7</v>
      </c>
      <c r="C108" s="7">
        <f t="shared" si="2"/>
        <v>555281463</v>
      </c>
      <c r="D108" s="7">
        <f t="shared" ref="D108:E108" si="108">A108^2</f>
        <v>1089</v>
      </c>
      <c r="E108" s="8">
        <f t="shared" si="108"/>
        <v>283138203077521</v>
      </c>
    </row>
    <row r="109">
      <c r="A109" s="7">
        <v>56.0</v>
      </c>
      <c r="B109" s="7">
        <v>4345778.0</v>
      </c>
      <c r="C109" s="7">
        <f t="shared" si="2"/>
        <v>243363568</v>
      </c>
      <c r="D109" s="7">
        <f t="shared" ref="D109:E109" si="109">A109^2</f>
        <v>3136</v>
      </c>
      <c r="E109" s="8">
        <f t="shared" si="109"/>
        <v>18885786425284</v>
      </c>
    </row>
    <row r="110">
      <c r="A110" s="7">
        <v>35.0</v>
      </c>
      <c r="B110" s="7">
        <v>1.3609354E7</v>
      </c>
      <c r="C110" s="7">
        <f t="shared" si="2"/>
        <v>476327390</v>
      </c>
      <c r="D110" s="7">
        <f t="shared" ref="D110:E110" si="110">A110^2</f>
        <v>1225</v>
      </c>
      <c r="E110" s="8">
        <f t="shared" si="110"/>
        <v>185214516297316</v>
      </c>
    </row>
    <row r="111">
      <c r="A111" s="7">
        <v>48.0</v>
      </c>
      <c r="B111" s="7">
        <v>4880950.0</v>
      </c>
      <c r="C111" s="7">
        <f t="shared" si="2"/>
        <v>234285600</v>
      </c>
      <c r="D111" s="7">
        <f t="shared" ref="D111:E111" si="111">A111^2</f>
        <v>2304</v>
      </c>
      <c r="E111" s="8">
        <f t="shared" si="111"/>
        <v>23823672902500</v>
      </c>
    </row>
    <row r="112">
      <c r="A112" s="7">
        <v>49.0</v>
      </c>
      <c r="B112" s="7">
        <v>1.3180447E7</v>
      </c>
      <c r="C112" s="7">
        <f t="shared" si="2"/>
        <v>645841903</v>
      </c>
      <c r="D112" s="7">
        <f t="shared" ref="D112:E112" si="112">A112^2</f>
        <v>2401</v>
      </c>
      <c r="E112" s="8">
        <f t="shared" si="112"/>
        <v>173724183119809</v>
      </c>
    </row>
    <row r="113">
      <c r="A113" s="7">
        <v>32.0</v>
      </c>
      <c r="B113" s="7">
        <v>8504179.0</v>
      </c>
      <c r="C113" s="7">
        <f t="shared" si="2"/>
        <v>272133728</v>
      </c>
      <c r="D113" s="7">
        <f t="shared" ref="D113:E113" si="113">A113^2</f>
        <v>1024</v>
      </c>
      <c r="E113" s="8">
        <f t="shared" si="113"/>
        <v>72321060464041</v>
      </c>
    </row>
    <row r="114">
      <c r="A114" s="7">
        <v>39.0</v>
      </c>
      <c r="B114" s="7">
        <v>1.4324301E7</v>
      </c>
      <c r="C114" s="7">
        <f t="shared" si="2"/>
        <v>558647739</v>
      </c>
      <c r="D114" s="7">
        <f t="shared" ref="D114:E114" si="114">A114^2</f>
        <v>1521</v>
      </c>
      <c r="E114" s="8">
        <f t="shared" si="114"/>
        <v>205185599138601</v>
      </c>
    </row>
    <row r="115">
      <c r="A115" s="7">
        <v>53.0</v>
      </c>
      <c r="B115" s="7">
        <v>4543805.0</v>
      </c>
      <c r="C115" s="7">
        <f t="shared" si="2"/>
        <v>240821665</v>
      </c>
      <c r="D115" s="7">
        <f t="shared" ref="D115:E115" si="115">A115^2</f>
        <v>2809</v>
      </c>
      <c r="E115" s="8">
        <f t="shared" si="115"/>
        <v>20646163878025</v>
      </c>
    </row>
    <row r="116">
      <c r="A116" s="7">
        <v>55.0</v>
      </c>
      <c r="B116" s="7">
        <v>1.3042747E7</v>
      </c>
      <c r="C116" s="7">
        <f t="shared" si="2"/>
        <v>717351085</v>
      </c>
      <c r="D116" s="7">
        <f t="shared" ref="D116:E116" si="116">A116^2</f>
        <v>3025</v>
      </c>
      <c r="E116" s="8">
        <f t="shared" si="116"/>
        <v>170113249306009</v>
      </c>
    </row>
    <row r="117">
      <c r="A117" s="7">
        <v>21.0</v>
      </c>
      <c r="B117" s="7">
        <v>1.2767781E7</v>
      </c>
      <c r="C117" s="7">
        <f t="shared" si="2"/>
        <v>268123401</v>
      </c>
      <c r="D117" s="7">
        <f t="shared" ref="D117:E117" si="117">A117^2</f>
        <v>441</v>
      </c>
      <c r="E117" s="8">
        <f t="shared" si="117"/>
        <v>163016231663961</v>
      </c>
    </row>
    <row r="118">
      <c r="A118" s="7">
        <v>33.0</v>
      </c>
      <c r="B118" s="7">
        <v>1.6172839E7</v>
      </c>
      <c r="C118" s="7">
        <f t="shared" si="2"/>
        <v>533703687</v>
      </c>
      <c r="D118" s="7">
        <f t="shared" ref="D118:E118" si="118">A118^2</f>
        <v>1089</v>
      </c>
      <c r="E118" s="8">
        <f t="shared" si="118"/>
        <v>261560721319921</v>
      </c>
    </row>
    <row r="119">
      <c r="A119" s="7">
        <v>22.0</v>
      </c>
      <c r="B119" s="7">
        <v>9220515.0</v>
      </c>
      <c r="C119" s="7">
        <f t="shared" si="2"/>
        <v>202851330</v>
      </c>
      <c r="D119" s="7">
        <f t="shared" ref="D119:E119" si="119">A119^2</f>
        <v>484</v>
      </c>
      <c r="E119" s="8">
        <f t="shared" si="119"/>
        <v>85017896865225</v>
      </c>
    </row>
    <row r="120">
      <c r="A120" s="7">
        <v>55.0</v>
      </c>
      <c r="B120" s="7">
        <v>5257395.0</v>
      </c>
      <c r="C120" s="7">
        <f t="shared" si="2"/>
        <v>289156725</v>
      </c>
      <c r="D120" s="7">
        <f t="shared" ref="D120:E120" si="120">A120^2</f>
        <v>3025</v>
      </c>
      <c r="E120" s="8">
        <f t="shared" si="120"/>
        <v>27640202186025</v>
      </c>
    </row>
    <row r="121">
      <c r="A121" s="7">
        <v>31.0</v>
      </c>
      <c r="B121" s="7">
        <v>7420845.0</v>
      </c>
      <c r="C121" s="7">
        <f t="shared" si="2"/>
        <v>230046195</v>
      </c>
      <c r="D121" s="7">
        <f t="shared" ref="D121:E121" si="121">A121^2</f>
        <v>961</v>
      </c>
      <c r="E121" s="8">
        <f t="shared" si="121"/>
        <v>55068940514025</v>
      </c>
    </row>
    <row r="122">
      <c r="A122" s="7">
        <v>27.0</v>
      </c>
      <c r="B122" s="7">
        <v>7691923.0</v>
      </c>
      <c r="C122" s="7">
        <f t="shared" si="2"/>
        <v>207681921</v>
      </c>
      <c r="D122" s="7">
        <f t="shared" ref="D122:E122" si="122">A122^2</f>
        <v>729</v>
      </c>
      <c r="E122" s="8">
        <f t="shared" si="122"/>
        <v>59165679437929</v>
      </c>
    </row>
    <row r="123">
      <c r="A123" s="7">
        <v>52.0</v>
      </c>
      <c r="B123" s="7">
        <v>1.6622463E7</v>
      </c>
      <c r="C123" s="7">
        <f t="shared" si="2"/>
        <v>864368076</v>
      </c>
      <c r="D123" s="7">
        <f t="shared" ref="D123:E123" si="123">A123^2</f>
        <v>2704</v>
      </c>
      <c r="E123" s="8">
        <f t="shared" si="123"/>
        <v>276306276186369</v>
      </c>
    </row>
    <row r="124">
      <c r="A124" s="7">
        <v>22.0</v>
      </c>
      <c r="B124" s="7">
        <v>7207630.0</v>
      </c>
      <c r="C124" s="7">
        <f t="shared" si="2"/>
        <v>158567860</v>
      </c>
      <c r="D124" s="7">
        <f t="shared" ref="D124:E124" si="124">A124^2</f>
        <v>484</v>
      </c>
      <c r="E124" s="8">
        <f t="shared" si="124"/>
        <v>51949930216900</v>
      </c>
    </row>
    <row r="125">
      <c r="A125" s="7">
        <v>24.0</v>
      </c>
      <c r="B125" s="7">
        <v>1.7702673E7</v>
      </c>
      <c r="C125" s="7">
        <f t="shared" si="2"/>
        <v>424864152</v>
      </c>
      <c r="D125" s="7">
        <f t="shared" ref="D125:E125" si="125">A125^2</f>
        <v>576</v>
      </c>
      <c r="E125" s="8">
        <f t="shared" si="125"/>
        <v>313384631344929</v>
      </c>
    </row>
    <row r="126">
      <c r="A126" s="7">
        <v>59.0</v>
      </c>
      <c r="B126" s="7">
        <v>2.0E7</v>
      </c>
      <c r="C126" s="7">
        <f t="shared" si="2"/>
        <v>1180000000</v>
      </c>
      <c r="D126" s="7">
        <f t="shared" ref="D126:E126" si="126">A126^2</f>
        <v>3481</v>
      </c>
      <c r="E126" s="8">
        <f t="shared" si="126"/>
        <v>400000000000000</v>
      </c>
    </row>
    <row r="127">
      <c r="A127" s="7">
        <v>47.0</v>
      </c>
      <c r="B127" s="7">
        <v>1.0959032E7</v>
      </c>
      <c r="C127" s="7">
        <f t="shared" si="2"/>
        <v>515074504</v>
      </c>
      <c r="D127" s="7">
        <f t="shared" ref="D127:E127" si="127">A127^2</f>
        <v>2209</v>
      </c>
      <c r="E127" s="8">
        <f t="shared" si="127"/>
        <v>120100382377024</v>
      </c>
    </row>
    <row r="128">
      <c r="A128" s="7">
        <v>37.0</v>
      </c>
      <c r="B128" s="7">
        <v>3638609.0</v>
      </c>
      <c r="C128" s="7">
        <f t="shared" si="2"/>
        <v>134628533</v>
      </c>
      <c r="D128" s="7">
        <f t="shared" ref="D128:E128" si="128">A128^2</f>
        <v>1369</v>
      </c>
      <c r="E128" s="8">
        <f t="shared" si="128"/>
        <v>13239475454881</v>
      </c>
    </row>
    <row r="129">
      <c r="A129" s="7">
        <v>32.0</v>
      </c>
      <c r="B129" s="7">
        <v>7718810.0</v>
      </c>
      <c r="C129" s="7">
        <f t="shared" si="2"/>
        <v>247001920</v>
      </c>
      <c r="D129" s="7">
        <f t="shared" ref="D129:E129" si="129">A129^2</f>
        <v>1024</v>
      </c>
      <c r="E129" s="8">
        <f t="shared" si="129"/>
        <v>59580027816100</v>
      </c>
    </row>
    <row r="130">
      <c r="A130" s="7">
        <v>29.0</v>
      </c>
      <c r="B130" s="7">
        <v>1.1537191E7</v>
      </c>
      <c r="C130" s="7">
        <f t="shared" si="2"/>
        <v>334578539</v>
      </c>
      <c r="D130" s="7">
        <f t="shared" ref="D130:E130" si="130">A130^2</f>
        <v>841</v>
      </c>
      <c r="E130" s="8">
        <f t="shared" si="130"/>
        <v>133106776170481</v>
      </c>
    </row>
    <row r="131">
      <c r="A131" s="7">
        <v>40.0</v>
      </c>
      <c r="B131" s="7">
        <v>6656354.0</v>
      </c>
      <c r="C131" s="7">
        <f t="shared" si="2"/>
        <v>266254160</v>
      </c>
      <c r="D131" s="7">
        <f t="shared" ref="D131:E131" si="131">A131^2</f>
        <v>1600</v>
      </c>
      <c r="E131" s="8">
        <f t="shared" si="131"/>
        <v>44307048573316</v>
      </c>
    </row>
    <row r="132">
      <c r="A132" s="7">
        <v>25.0</v>
      </c>
      <c r="B132" s="7">
        <v>8161584.0</v>
      </c>
      <c r="C132" s="7">
        <f t="shared" si="2"/>
        <v>204039600</v>
      </c>
      <c r="D132" s="7">
        <f t="shared" ref="D132:E132" si="132">A132^2</f>
        <v>625</v>
      </c>
      <c r="E132" s="8">
        <f t="shared" si="132"/>
        <v>66611453389056</v>
      </c>
    </row>
    <row r="133">
      <c r="A133" s="7">
        <v>50.0</v>
      </c>
      <c r="B133" s="7">
        <v>9399440.0</v>
      </c>
      <c r="C133" s="7">
        <f t="shared" si="2"/>
        <v>469972000</v>
      </c>
      <c r="D133" s="7">
        <f t="shared" ref="D133:E133" si="133">A133^2</f>
        <v>2500</v>
      </c>
      <c r="E133" s="8">
        <f t="shared" si="133"/>
        <v>88349472313600</v>
      </c>
    </row>
    <row r="134">
      <c r="A134" s="7">
        <v>55.0</v>
      </c>
      <c r="B134" s="7">
        <v>3870745.0</v>
      </c>
      <c r="C134" s="7">
        <f t="shared" si="2"/>
        <v>212890975</v>
      </c>
      <c r="D134" s="7">
        <f t="shared" ref="D134:E134" si="134">A134^2</f>
        <v>3025</v>
      </c>
      <c r="E134" s="8">
        <f t="shared" si="134"/>
        <v>14982666855025</v>
      </c>
    </row>
    <row r="135">
      <c r="A135" s="7">
        <v>35.0</v>
      </c>
      <c r="B135" s="7">
        <v>1.3516286E7</v>
      </c>
      <c r="C135" s="7">
        <f t="shared" si="2"/>
        <v>473070010</v>
      </c>
      <c r="D135" s="7">
        <f t="shared" ref="D135:E135" si="135">A135^2</f>
        <v>1225</v>
      </c>
      <c r="E135" s="8">
        <f t="shared" si="135"/>
        <v>182689987233796</v>
      </c>
    </row>
    <row r="136">
      <c r="A136" s="7">
        <v>46.0</v>
      </c>
      <c r="B136" s="7">
        <v>2.0E7</v>
      </c>
      <c r="C136" s="7">
        <f t="shared" si="2"/>
        <v>920000000</v>
      </c>
      <c r="D136" s="7">
        <f t="shared" ref="D136:E136" si="136">A136^2</f>
        <v>2116</v>
      </c>
      <c r="E136" s="8">
        <f t="shared" si="136"/>
        <v>400000000000000</v>
      </c>
    </row>
    <row r="137">
      <c r="A137" s="7">
        <v>58.0</v>
      </c>
      <c r="B137" s="7">
        <v>1.0345712E7</v>
      </c>
      <c r="C137" s="7">
        <f t="shared" si="2"/>
        <v>600051296</v>
      </c>
      <c r="D137" s="7">
        <f t="shared" ref="D137:E137" si="137">A137^2</f>
        <v>3364</v>
      </c>
      <c r="E137" s="8">
        <f t="shared" si="137"/>
        <v>107033756786944</v>
      </c>
    </row>
    <row r="138">
      <c r="A138" s="7">
        <v>53.0</v>
      </c>
      <c r="B138" s="7">
        <v>5104084.0</v>
      </c>
      <c r="C138" s="7">
        <f t="shared" si="2"/>
        <v>270516452</v>
      </c>
      <c r="D138" s="7">
        <f t="shared" ref="D138:E138" si="138">A138^2</f>
        <v>2809</v>
      </c>
      <c r="E138" s="8">
        <f t="shared" si="138"/>
        <v>26051673479056</v>
      </c>
    </row>
    <row r="139">
      <c r="A139" s="7">
        <v>53.0</v>
      </c>
      <c r="B139" s="7">
        <v>1.3421532E7</v>
      </c>
      <c r="C139" s="7">
        <f t="shared" si="2"/>
        <v>711341196</v>
      </c>
      <c r="D139" s="7">
        <f t="shared" ref="D139:E139" si="139">A139^2</f>
        <v>2809</v>
      </c>
      <c r="E139" s="8">
        <f t="shared" si="139"/>
        <v>180137521227024</v>
      </c>
    </row>
    <row r="140">
      <c r="A140" s="7">
        <v>55.0</v>
      </c>
      <c r="B140" s="7">
        <v>9809636.0</v>
      </c>
      <c r="C140" s="7">
        <f t="shared" si="2"/>
        <v>539529980</v>
      </c>
      <c r="D140" s="7">
        <f t="shared" ref="D140:E140" si="140">A140^2</f>
        <v>3025</v>
      </c>
      <c r="E140" s="8">
        <f t="shared" si="140"/>
        <v>96228958452496</v>
      </c>
    </row>
    <row r="141">
      <c r="A141" s="7">
        <v>37.0</v>
      </c>
      <c r="B141" s="7">
        <v>8759574.0</v>
      </c>
      <c r="C141" s="7">
        <f t="shared" si="2"/>
        <v>324104238</v>
      </c>
      <c r="D141" s="7">
        <f t="shared" ref="D141:E141" si="141">A141^2</f>
        <v>1369</v>
      </c>
      <c r="E141" s="8">
        <f t="shared" si="141"/>
        <v>76730136661476</v>
      </c>
    </row>
    <row r="142">
      <c r="A142" s="7">
        <v>18.0</v>
      </c>
      <c r="B142" s="7">
        <v>1.2955313E7</v>
      </c>
      <c r="C142" s="7">
        <f t="shared" si="2"/>
        <v>233195634</v>
      </c>
      <c r="D142" s="7">
        <f t="shared" ref="D142:E142" si="142">A142^2</f>
        <v>324</v>
      </c>
      <c r="E142" s="8">
        <f t="shared" si="142"/>
        <v>167840134927969</v>
      </c>
    </row>
    <row r="143">
      <c r="A143" s="7">
        <v>44.0</v>
      </c>
      <c r="B143" s="7">
        <v>2.0E7</v>
      </c>
      <c r="C143" s="7">
        <f t="shared" si="2"/>
        <v>880000000</v>
      </c>
      <c r="D143" s="7">
        <f t="shared" ref="D143:E143" si="143">A143^2</f>
        <v>1936</v>
      </c>
      <c r="E143" s="8">
        <f t="shared" si="143"/>
        <v>400000000000000</v>
      </c>
    </row>
    <row r="144">
      <c r="A144" s="7">
        <v>22.0</v>
      </c>
      <c r="B144" s="7">
        <v>1.0481842E7</v>
      </c>
      <c r="C144" s="7">
        <f t="shared" si="2"/>
        <v>230600524</v>
      </c>
      <c r="D144" s="7">
        <f t="shared" ref="D144:E144" si="144">A144^2</f>
        <v>484</v>
      </c>
      <c r="E144" s="8">
        <f t="shared" si="144"/>
        <v>109869011712964</v>
      </c>
    </row>
    <row r="145">
      <c r="A145" s="7">
        <v>19.0</v>
      </c>
      <c r="B145" s="7">
        <v>1.7600492E7</v>
      </c>
      <c r="C145" s="7">
        <f t="shared" si="2"/>
        <v>334409348</v>
      </c>
      <c r="D145" s="7">
        <f t="shared" ref="D145:E145" si="145">A145^2</f>
        <v>361</v>
      </c>
      <c r="E145" s="8">
        <f t="shared" si="145"/>
        <v>309777318642064</v>
      </c>
    </row>
    <row r="146">
      <c r="A146" s="7">
        <v>23.0</v>
      </c>
      <c r="B146" s="7">
        <v>1.6705638E7</v>
      </c>
      <c r="C146" s="7">
        <f t="shared" si="2"/>
        <v>384229674</v>
      </c>
      <c r="D146" s="7">
        <f t="shared" ref="D146:E146" si="146">A146^2</f>
        <v>529</v>
      </c>
      <c r="E146" s="8">
        <f t="shared" si="146"/>
        <v>279078340987044</v>
      </c>
    </row>
    <row r="147">
      <c r="A147" s="7">
        <v>37.0</v>
      </c>
      <c r="B147" s="7">
        <v>1.903328E7</v>
      </c>
      <c r="C147" s="7">
        <f t="shared" si="2"/>
        <v>704231360</v>
      </c>
      <c r="D147" s="7">
        <f t="shared" ref="D147:E147" si="147">A147^2</f>
        <v>1369</v>
      </c>
      <c r="E147" s="8">
        <f t="shared" si="147"/>
        <v>362265747558400</v>
      </c>
    </row>
    <row r="148">
      <c r="A148" s="7">
        <v>51.0</v>
      </c>
      <c r="B148" s="7">
        <v>1.9193548E7</v>
      </c>
      <c r="C148" s="7">
        <f t="shared" si="2"/>
        <v>978870948</v>
      </c>
      <c r="D148" s="7">
        <f t="shared" ref="D148:E148" si="148">A148^2</f>
        <v>2601</v>
      </c>
      <c r="E148" s="8">
        <f t="shared" si="148"/>
        <v>368392284828304</v>
      </c>
    </row>
    <row r="149">
      <c r="A149" s="7">
        <v>45.0</v>
      </c>
      <c r="B149" s="7">
        <v>3706063.0</v>
      </c>
      <c r="C149" s="7">
        <f t="shared" si="2"/>
        <v>166772835</v>
      </c>
      <c r="D149" s="7">
        <f t="shared" ref="D149:E149" si="149">A149^2</f>
        <v>2025</v>
      </c>
      <c r="E149" s="8">
        <f t="shared" si="149"/>
        <v>13734902959969</v>
      </c>
    </row>
    <row r="150">
      <c r="A150" s="7">
        <v>29.0</v>
      </c>
      <c r="B150" s="7">
        <v>1.568213E7</v>
      </c>
      <c r="C150" s="7">
        <f t="shared" si="2"/>
        <v>454781770</v>
      </c>
      <c r="D150" s="7">
        <f t="shared" ref="D150:E150" si="150">A150^2</f>
        <v>841</v>
      </c>
      <c r="E150" s="8">
        <f t="shared" si="150"/>
        <v>245929201336900</v>
      </c>
    </row>
    <row r="151">
      <c r="A151" s="7">
        <v>27.0</v>
      </c>
      <c r="B151" s="7">
        <v>7340883.0</v>
      </c>
      <c r="C151" s="7">
        <f t="shared" si="2"/>
        <v>198203841</v>
      </c>
      <c r="D151" s="7">
        <f t="shared" ref="D151:E151" si="151">A151^2</f>
        <v>729</v>
      </c>
      <c r="E151" s="8">
        <f t="shared" si="151"/>
        <v>53888563219689</v>
      </c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2025-10-14T02:55:35Z</dcterms:created>
  <dc:creator>openpyxl</dc:creator>
</cp:coreProperties>
</file>